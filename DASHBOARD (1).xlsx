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5"/>
    <sheet state="visible" name="Hoja1 (2)" sheetId="2" r:id="rId6"/>
  </sheets>
  <definedNames/>
  <calcPr/>
</workbook>
</file>

<file path=xl/sharedStrings.xml><?xml version="1.0" encoding="utf-8"?>
<sst xmlns="http://schemas.openxmlformats.org/spreadsheetml/2006/main" count="4479" uniqueCount="37">
  <si>
    <t>DATE</t>
  </si>
  <si>
    <t>CHANNEL</t>
  </si>
  <si>
    <t>DATA SOURCE</t>
  </si>
  <si>
    <t>CAMPAING</t>
  </si>
  <si>
    <t>IMPRESSIONS</t>
  </si>
  <si>
    <t>CLICKS</t>
  </si>
  <si>
    <t>COST</t>
  </si>
  <si>
    <t>CONVERSIONS</t>
  </si>
  <si>
    <t>VIDEO VIEWS</t>
  </si>
  <si>
    <t>CTR (CLICK THOUGH RATE</t>
  </si>
  <si>
    <t>CPC (COST PER CLICK)</t>
  </si>
  <si>
    <t>CPM (COST PER MILLE)</t>
  </si>
  <si>
    <t>CONVERSION RATE</t>
  </si>
  <si>
    <t>Business-focused zero tolerance arch</t>
  </si>
  <si>
    <t>Programmatic</t>
  </si>
  <si>
    <t>StackAdapt</t>
  </si>
  <si>
    <t>Integrated dedicated contingency</t>
  </si>
  <si>
    <t>Amazon Ad Server</t>
  </si>
  <si>
    <t>Customer-centric digital strategy</t>
  </si>
  <si>
    <t>Centralized modular throughput</t>
  </si>
  <si>
    <t>Paid serch</t>
  </si>
  <si>
    <t>Google Ads</t>
  </si>
  <si>
    <t>Cross-platform static hierarchy</t>
  </si>
  <si>
    <t>Bing</t>
  </si>
  <si>
    <t>Performance-driven growth model</t>
  </si>
  <si>
    <t>Advanced scalable solution</t>
  </si>
  <si>
    <t>Paid social</t>
  </si>
  <si>
    <t>Facebook</t>
  </si>
  <si>
    <t>Omnichannel engagement strategy</t>
  </si>
  <si>
    <t>|</t>
  </si>
  <si>
    <t>Optimized dynamic framework</t>
  </si>
  <si>
    <t>LinkedIn Ads</t>
  </si>
  <si>
    <t>Future-proof modular system</t>
  </si>
  <si>
    <t xml:space="preserve">Organic </t>
  </si>
  <si>
    <t>Google</t>
  </si>
  <si>
    <t>Website</t>
  </si>
  <si>
    <t>29/02/2023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</si>
</sst>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Font="1"/>
    <xf borderId="0" fillId="0" fontId="1" numFmtId="164" xfId="0" applyAlignment="1" applyFont="1" applyNumberFormat="1">
      <alignment horizontal="left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3.29"/>
    <col customWidth="1" min="3" max="3" width="17.29"/>
    <col customWidth="1" min="4" max="4" width="34.29"/>
    <col customWidth="1" min="5" max="5" width="13.0"/>
    <col customWidth="1" min="6" max="6" width="8.0"/>
    <col customWidth="1" min="7" max="7" width="10.0"/>
    <col customWidth="1" min="8" max="8" width="13.86"/>
    <col customWidth="1" min="9" max="9" width="12.71"/>
    <col customWidth="1" min="10" max="10" width="23.43"/>
    <col customWidth="1" min="11" max="11" width="20.0"/>
    <col customWidth="1" min="12" max="12" width="20.71"/>
    <col customWidth="1" min="13" max="13" width="17.86"/>
    <col customWidth="1" min="14" max="15" width="10.71"/>
    <col customWidth="1" min="16" max="16" width="34.29"/>
    <col customWidth="1" min="17" max="26" width="10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P1" s="2" t="s">
        <v>13</v>
      </c>
    </row>
    <row r="2">
      <c r="A2" s="3">
        <v>44927.0</v>
      </c>
      <c r="B2" s="2" t="s">
        <v>14</v>
      </c>
      <c r="C2" s="2" t="s">
        <v>15</v>
      </c>
      <c r="D2" s="2" t="s">
        <v>16</v>
      </c>
      <c r="E2" s="2">
        <v>10106.0</v>
      </c>
      <c r="F2" s="2">
        <v>606.36</v>
      </c>
      <c r="G2" s="2">
        <v>497.2152</v>
      </c>
      <c r="H2" s="2">
        <v>61.0</v>
      </c>
      <c r="I2" s="2">
        <v>4471.0</v>
      </c>
      <c r="J2" s="2">
        <f t="shared" ref="J2:J737" si="1">G2/F2</f>
        <v>0.82</v>
      </c>
      <c r="K2" s="2">
        <f t="shared" ref="K2:K737" si="2">G2/F2</f>
        <v>0.82</v>
      </c>
      <c r="L2" s="2">
        <f t="shared" ref="L2:L737" si="3">(G2/E2)*1000</f>
        <v>49.2</v>
      </c>
      <c r="M2" s="2">
        <f t="shared" ref="M2:M737" si="4">H2/F2</f>
        <v>0.1006003035</v>
      </c>
      <c r="P2" s="2" t="s">
        <v>16</v>
      </c>
    </row>
    <row r="3">
      <c r="A3" s="3">
        <v>44927.0</v>
      </c>
      <c r="B3" s="2" t="s">
        <v>14</v>
      </c>
      <c r="C3" s="2" t="s">
        <v>17</v>
      </c>
      <c r="D3" s="2" t="s">
        <v>18</v>
      </c>
      <c r="E3" s="2">
        <v>10222.0</v>
      </c>
      <c r="F3" s="2">
        <v>408.88</v>
      </c>
      <c r="G3" s="2">
        <v>658.2968000000001</v>
      </c>
      <c r="H3" s="2">
        <v>29.0</v>
      </c>
      <c r="I3" s="2">
        <v>2325.0</v>
      </c>
      <c r="J3" s="2">
        <f t="shared" si="1"/>
        <v>1.61</v>
      </c>
      <c r="K3" s="2">
        <f t="shared" si="2"/>
        <v>1.61</v>
      </c>
      <c r="L3" s="2">
        <f t="shared" si="3"/>
        <v>64.4</v>
      </c>
      <c r="M3" s="2">
        <f t="shared" si="4"/>
        <v>0.0709254549</v>
      </c>
      <c r="P3" s="2" t="s">
        <v>19</v>
      </c>
    </row>
    <row r="4">
      <c r="A4" s="3">
        <v>44927.0</v>
      </c>
      <c r="B4" s="2" t="s">
        <v>20</v>
      </c>
      <c r="C4" s="2" t="s">
        <v>21</v>
      </c>
      <c r="D4" s="2" t="s">
        <v>13</v>
      </c>
      <c r="E4" s="2">
        <v>2460.0</v>
      </c>
      <c r="F4" s="2">
        <v>196.8</v>
      </c>
      <c r="G4" s="2">
        <v>362.112</v>
      </c>
      <c r="H4" s="2">
        <v>20.0</v>
      </c>
      <c r="I4" s="2">
        <v>1056.0</v>
      </c>
      <c r="J4" s="2">
        <f t="shared" si="1"/>
        <v>1.84</v>
      </c>
      <c r="K4" s="2">
        <f t="shared" si="2"/>
        <v>1.84</v>
      </c>
      <c r="L4" s="2">
        <f t="shared" si="3"/>
        <v>147.2</v>
      </c>
      <c r="M4" s="2">
        <f t="shared" si="4"/>
        <v>0.1016260163</v>
      </c>
      <c r="P4" s="2" t="s">
        <v>22</v>
      </c>
    </row>
    <row r="5">
      <c r="A5" s="3">
        <v>44927.0</v>
      </c>
      <c r="B5" s="2" t="s">
        <v>20</v>
      </c>
      <c r="C5" s="2" t="s">
        <v>23</v>
      </c>
      <c r="D5" s="2" t="s">
        <v>24</v>
      </c>
      <c r="E5" s="2">
        <v>2866.0</v>
      </c>
      <c r="F5" s="2">
        <v>143.3</v>
      </c>
      <c r="G5" s="2">
        <v>124.671</v>
      </c>
      <c r="H5" s="2">
        <v>27.0</v>
      </c>
      <c r="I5" s="2">
        <v>2442.0</v>
      </c>
      <c r="J5" s="2">
        <f t="shared" si="1"/>
        <v>0.87</v>
      </c>
      <c r="K5" s="2">
        <f t="shared" si="2"/>
        <v>0.87</v>
      </c>
      <c r="L5" s="2">
        <f t="shared" si="3"/>
        <v>43.5</v>
      </c>
      <c r="M5" s="2">
        <f t="shared" si="4"/>
        <v>0.1884159107</v>
      </c>
      <c r="P5" s="2" t="s">
        <v>25</v>
      </c>
    </row>
    <row r="6">
      <c r="A6" s="3">
        <v>44927.0</v>
      </c>
      <c r="B6" s="2" t="s">
        <v>26</v>
      </c>
      <c r="C6" s="2" t="s">
        <v>27</v>
      </c>
      <c r="D6" s="2" t="s">
        <v>28</v>
      </c>
      <c r="E6" s="2">
        <v>9518.0</v>
      </c>
      <c r="F6" s="2">
        <v>285.53999999999996</v>
      </c>
      <c r="G6" s="2">
        <v>562.5138</v>
      </c>
      <c r="H6" s="2">
        <v>54.0</v>
      </c>
      <c r="I6" s="2">
        <v>3503.0</v>
      </c>
      <c r="J6" s="2">
        <f t="shared" si="1"/>
        <v>1.97</v>
      </c>
      <c r="K6" s="2">
        <f t="shared" si="2"/>
        <v>1.97</v>
      </c>
      <c r="L6" s="2">
        <f t="shared" si="3"/>
        <v>59.1</v>
      </c>
      <c r="M6" s="2">
        <f t="shared" si="4"/>
        <v>0.1891153604</v>
      </c>
      <c r="O6" s="4" t="s">
        <v>29</v>
      </c>
      <c r="P6" s="2" t="s">
        <v>30</v>
      </c>
    </row>
    <row r="7">
      <c r="A7" s="3">
        <v>44927.0</v>
      </c>
      <c r="B7" s="2" t="s">
        <v>26</v>
      </c>
      <c r="C7" s="2" t="s">
        <v>31</v>
      </c>
      <c r="D7" s="2" t="s">
        <v>18</v>
      </c>
      <c r="E7" s="2">
        <v>11000.0</v>
      </c>
      <c r="F7" s="2">
        <v>220.0</v>
      </c>
      <c r="G7" s="2">
        <v>90.19999999999999</v>
      </c>
      <c r="H7" s="2">
        <v>42.0</v>
      </c>
      <c r="I7" s="2">
        <v>3265.0</v>
      </c>
      <c r="J7" s="2">
        <f t="shared" si="1"/>
        <v>0.41</v>
      </c>
      <c r="K7" s="2">
        <f t="shared" si="2"/>
        <v>0.41</v>
      </c>
      <c r="L7" s="2">
        <f t="shared" si="3"/>
        <v>8.2</v>
      </c>
      <c r="M7" s="2">
        <f t="shared" si="4"/>
        <v>0.1909090909</v>
      </c>
      <c r="P7" s="2" t="s">
        <v>32</v>
      </c>
    </row>
    <row r="8">
      <c r="A8" s="3">
        <v>44927.0</v>
      </c>
      <c r="B8" s="2" t="s">
        <v>33</v>
      </c>
      <c r="C8" s="2" t="s">
        <v>34</v>
      </c>
      <c r="D8" s="2" t="s">
        <v>19</v>
      </c>
      <c r="E8" s="2">
        <v>4557.0</v>
      </c>
      <c r="F8" s="2">
        <v>227.85000000000002</v>
      </c>
      <c r="G8" s="2">
        <v>0.0</v>
      </c>
      <c r="H8" s="2">
        <v>21.0</v>
      </c>
      <c r="I8" s="2">
        <v>2850.0</v>
      </c>
      <c r="J8" s="2">
        <f t="shared" si="1"/>
        <v>0</v>
      </c>
      <c r="K8" s="2">
        <f t="shared" si="2"/>
        <v>0</v>
      </c>
      <c r="L8" s="2">
        <f t="shared" si="3"/>
        <v>0</v>
      </c>
      <c r="M8" s="2">
        <f t="shared" si="4"/>
        <v>0.09216589862</v>
      </c>
      <c r="P8" s="2" t="s">
        <v>18</v>
      </c>
    </row>
    <row r="9">
      <c r="A9" s="3">
        <v>44927.0</v>
      </c>
      <c r="B9" s="2" t="s">
        <v>33</v>
      </c>
      <c r="C9" s="2" t="s">
        <v>35</v>
      </c>
      <c r="D9" s="2" t="s">
        <v>22</v>
      </c>
      <c r="E9" s="2">
        <v>5804.0</v>
      </c>
      <c r="F9" s="2">
        <v>232.16</v>
      </c>
      <c r="G9" s="2">
        <v>0.0</v>
      </c>
      <c r="H9" s="2">
        <v>33.0</v>
      </c>
      <c r="I9" s="2">
        <v>1268.0</v>
      </c>
      <c r="J9" s="2">
        <f t="shared" si="1"/>
        <v>0</v>
      </c>
      <c r="K9" s="2">
        <f t="shared" si="2"/>
        <v>0</v>
      </c>
      <c r="L9" s="2">
        <f t="shared" si="3"/>
        <v>0</v>
      </c>
      <c r="M9" s="2">
        <f t="shared" si="4"/>
        <v>0.1421433494</v>
      </c>
      <c r="P9" s="2" t="s">
        <v>24</v>
      </c>
    </row>
    <row r="10">
      <c r="A10" s="3">
        <v>44928.0</v>
      </c>
      <c r="B10" s="2" t="s">
        <v>14</v>
      </c>
      <c r="C10" s="2" t="s">
        <v>15</v>
      </c>
      <c r="D10" s="2" t="s">
        <v>13</v>
      </c>
      <c r="E10" s="2">
        <v>6880.0</v>
      </c>
      <c r="F10" s="2">
        <v>688.0</v>
      </c>
      <c r="G10" s="2">
        <v>860.0</v>
      </c>
      <c r="H10" s="2">
        <v>110.0</v>
      </c>
      <c r="I10" s="2">
        <v>3856.0</v>
      </c>
      <c r="J10" s="2">
        <f t="shared" si="1"/>
        <v>1.25</v>
      </c>
      <c r="K10" s="2">
        <f t="shared" si="2"/>
        <v>1.25</v>
      </c>
      <c r="L10" s="2">
        <f t="shared" si="3"/>
        <v>125</v>
      </c>
      <c r="M10" s="2">
        <f t="shared" si="4"/>
        <v>0.1598837209</v>
      </c>
      <c r="P10" s="2" t="s">
        <v>28</v>
      </c>
    </row>
    <row r="11">
      <c r="A11" s="3">
        <v>44928.0</v>
      </c>
      <c r="B11" s="2" t="s">
        <v>14</v>
      </c>
      <c r="C11" s="2" t="s">
        <v>17</v>
      </c>
      <c r="D11" s="2" t="s">
        <v>24</v>
      </c>
      <c r="E11" s="2">
        <v>8280.0</v>
      </c>
      <c r="F11" s="2">
        <v>165.6</v>
      </c>
      <c r="G11" s="2">
        <v>72.864</v>
      </c>
      <c r="H11" s="2">
        <v>18.0</v>
      </c>
      <c r="I11" s="2">
        <v>963.0</v>
      </c>
      <c r="J11" s="2">
        <f t="shared" si="1"/>
        <v>0.44</v>
      </c>
      <c r="K11" s="2">
        <f t="shared" si="2"/>
        <v>0.44</v>
      </c>
      <c r="L11" s="2">
        <f t="shared" si="3"/>
        <v>8.8</v>
      </c>
      <c r="M11" s="2">
        <f t="shared" si="4"/>
        <v>0.1086956522</v>
      </c>
    </row>
    <row r="12">
      <c r="A12" s="3">
        <v>44928.0</v>
      </c>
      <c r="B12" s="2" t="s">
        <v>20</v>
      </c>
      <c r="C12" s="2" t="s">
        <v>21</v>
      </c>
      <c r="D12" s="2" t="s">
        <v>30</v>
      </c>
      <c r="E12" s="2">
        <v>2032.0</v>
      </c>
      <c r="F12" s="2">
        <v>81.28</v>
      </c>
      <c r="G12" s="2">
        <v>157.6832</v>
      </c>
      <c r="H12" s="2">
        <v>14.0</v>
      </c>
      <c r="I12" s="2">
        <v>2783.0</v>
      </c>
      <c r="J12" s="2">
        <f t="shared" si="1"/>
        <v>1.94</v>
      </c>
      <c r="K12" s="2">
        <f t="shared" si="2"/>
        <v>1.94</v>
      </c>
      <c r="L12" s="2">
        <f t="shared" si="3"/>
        <v>77.6</v>
      </c>
      <c r="M12" s="2">
        <f t="shared" si="4"/>
        <v>0.1722440945</v>
      </c>
    </row>
    <row r="13">
      <c r="A13" s="3">
        <v>44928.0</v>
      </c>
      <c r="B13" s="2" t="s">
        <v>20</v>
      </c>
      <c r="C13" s="2" t="s">
        <v>23</v>
      </c>
      <c r="D13" s="2" t="s">
        <v>32</v>
      </c>
      <c r="E13" s="2">
        <v>5409.0</v>
      </c>
      <c r="F13" s="2">
        <v>216.36</v>
      </c>
      <c r="G13" s="2">
        <v>64.908</v>
      </c>
      <c r="H13" s="2">
        <v>41.0</v>
      </c>
      <c r="I13" s="2">
        <v>1290.0</v>
      </c>
      <c r="J13" s="2">
        <f t="shared" si="1"/>
        <v>0.3</v>
      </c>
      <c r="K13" s="2">
        <f t="shared" si="2"/>
        <v>0.3</v>
      </c>
      <c r="L13" s="2">
        <f t="shared" si="3"/>
        <v>12</v>
      </c>
      <c r="M13" s="2">
        <f t="shared" si="4"/>
        <v>0.1894989832</v>
      </c>
    </row>
    <row r="14">
      <c r="A14" s="3">
        <v>44928.0</v>
      </c>
      <c r="B14" s="2" t="s">
        <v>26</v>
      </c>
      <c r="C14" s="2" t="s">
        <v>27</v>
      </c>
      <c r="D14" s="2" t="s">
        <v>19</v>
      </c>
      <c r="E14" s="2">
        <v>8120.0</v>
      </c>
      <c r="F14" s="2">
        <v>487.2</v>
      </c>
      <c r="G14" s="2">
        <v>599.256</v>
      </c>
      <c r="H14" s="2">
        <v>34.0</v>
      </c>
      <c r="I14" s="2">
        <v>971.0</v>
      </c>
      <c r="J14" s="2">
        <f t="shared" si="1"/>
        <v>1.23</v>
      </c>
      <c r="K14" s="2">
        <f t="shared" si="2"/>
        <v>1.23</v>
      </c>
      <c r="L14" s="2">
        <f t="shared" si="3"/>
        <v>73.8</v>
      </c>
      <c r="M14" s="2">
        <f t="shared" si="4"/>
        <v>0.0697865353</v>
      </c>
    </row>
    <row r="15">
      <c r="A15" s="3">
        <v>44928.0</v>
      </c>
      <c r="B15" s="2" t="s">
        <v>26</v>
      </c>
      <c r="C15" s="2" t="s">
        <v>31</v>
      </c>
      <c r="D15" s="2" t="s">
        <v>30</v>
      </c>
      <c r="E15" s="2">
        <v>10001.0</v>
      </c>
      <c r="F15" s="2">
        <v>300.03</v>
      </c>
      <c r="G15" s="2">
        <v>300.03</v>
      </c>
      <c r="H15" s="2">
        <v>48.0</v>
      </c>
      <c r="I15" s="2">
        <v>1677.0</v>
      </c>
      <c r="J15" s="2">
        <f t="shared" si="1"/>
        <v>1</v>
      </c>
      <c r="K15" s="2">
        <f t="shared" si="2"/>
        <v>1</v>
      </c>
      <c r="L15" s="2">
        <f t="shared" si="3"/>
        <v>30</v>
      </c>
      <c r="M15" s="2">
        <f t="shared" si="4"/>
        <v>0.1599840016</v>
      </c>
    </row>
    <row r="16">
      <c r="A16" s="3">
        <v>44928.0</v>
      </c>
      <c r="B16" s="2" t="s">
        <v>33</v>
      </c>
      <c r="C16" s="2" t="s">
        <v>34</v>
      </c>
      <c r="D16" s="2" t="s">
        <v>19</v>
      </c>
      <c r="E16" s="2">
        <v>3295.0</v>
      </c>
      <c r="F16" s="2">
        <v>296.55</v>
      </c>
      <c r="G16" s="2">
        <v>0.0</v>
      </c>
      <c r="H16" s="2">
        <v>33.0</v>
      </c>
      <c r="I16" s="2">
        <v>2121.0</v>
      </c>
      <c r="J16" s="2">
        <f t="shared" si="1"/>
        <v>0</v>
      </c>
      <c r="K16" s="2">
        <f t="shared" si="2"/>
        <v>0</v>
      </c>
      <c r="L16" s="2">
        <f t="shared" si="3"/>
        <v>0</v>
      </c>
      <c r="M16" s="2">
        <f t="shared" si="4"/>
        <v>0.1112797167</v>
      </c>
    </row>
    <row r="17">
      <c r="A17" s="3">
        <v>44928.0</v>
      </c>
      <c r="B17" s="2" t="s">
        <v>33</v>
      </c>
      <c r="C17" s="2" t="s">
        <v>35</v>
      </c>
      <c r="D17" s="2" t="s">
        <v>19</v>
      </c>
      <c r="E17" s="2">
        <v>5647.0</v>
      </c>
      <c r="F17" s="2">
        <v>564.7</v>
      </c>
      <c r="G17" s="2">
        <v>0.0</v>
      </c>
      <c r="H17" s="2">
        <v>40.0</v>
      </c>
      <c r="I17" s="2">
        <v>3379.0</v>
      </c>
      <c r="J17" s="2">
        <f t="shared" si="1"/>
        <v>0</v>
      </c>
      <c r="K17" s="2">
        <f t="shared" si="2"/>
        <v>0</v>
      </c>
      <c r="L17" s="2">
        <f t="shared" si="3"/>
        <v>0</v>
      </c>
      <c r="M17" s="2">
        <f t="shared" si="4"/>
        <v>0.07083407119</v>
      </c>
    </row>
    <row r="18">
      <c r="A18" s="3">
        <v>44929.0</v>
      </c>
      <c r="B18" s="2" t="s">
        <v>14</v>
      </c>
      <c r="C18" s="2" t="s">
        <v>15</v>
      </c>
      <c r="D18" s="2" t="s">
        <v>32</v>
      </c>
      <c r="E18" s="2">
        <v>5916.0</v>
      </c>
      <c r="F18" s="2">
        <v>177.48</v>
      </c>
      <c r="G18" s="2">
        <v>308.8152</v>
      </c>
      <c r="H18" s="2">
        <v>18.0</v>
      </c>
      <c r="I18" s="2">
        <v>1242.0</v>
      </c>
      <c r="J18" s="2">
        <f t="shared" si="1"/>
        <v>1.74</v>
      </c>
      <c r="K18" s="2">
        <f t="shared" si="2"/>
        <v>1.74</v>
      </c>
      <c r="L18" s="2">
        <f t="shared" si="3"/>
        <v>52.2</v>
      </c>
      <c r="M18" s="2">
        <f t="shared" si="4"/>
        <v>0.1014198783</v>
      </c>
    </row>
    <row r="19">
      <c r="A19" s="3">
        <v>44929.0</v>
      </c>
      <c r="B19" s="2" t="s">
        <v>14</v>
      </c>
      <c r="C19" s="2" t="s">
        <v>17</v>
      </c>
      <c r="D19" s="2" t="s">
        <v>19</v>
      </c>
      <c r="E19" s="2">
        <v>8636.0</v>
      </c>
      <c r="F19" s="2">
        <v>863.6</v>
      </c>
      <c r="G19" s="2">
        <v>1442.212</v>
      </c>
      <c r="H19" s="2">
        <v>95.0</v>
      </c>
      <c r="I19" s="2">
        <v>553.0</v>
      </c>
      <c r="J19" s="2">
        <f t="shared" si="1"/>
        <v>1.67</v>
      </c>
      <c r="K19" s="2">
        <f t="shared" si="2"/>
        <v>1.67</v>
      </c>
      <c r="L19" s="2">
        <f t="shared" si="3"/>
        <v>167</v>
      </c>
      <c r="M19" s="2">
        <f t="shared" si="4"/>
        <v>0.1100046318</v>
      </c>
    </row>
    <row r="20">
      <c r="A20" s="3">
        <v>44929.0</v>
      </c>
      <c r="B20" s="2" t="s">
        <v>20</v>
      </c>
      <c r="C20" s="2" t="s">
        <v>21</v>
      </c>
      <c r="D20" s="2" t="s">
        <v>28</v>
      </c>
      <c r="E20" s="2">
        <v>4256.0</v>
      </c>
      <c r="F20" s="2">
        <v>170.24</v>
      </c>
      <c r="G20" s="2">
        <v>234.9312</v>
      </c>
      <c r="H20" s="2">
        <v>24.0</v>
      </c>
      <c r="I20" s="2">
        <v>1520.0</v>
      </c>
      <c r="J20" s="2">
        <f t="shared" si="1"/>
        <v>1.38</v>
      </c>
      <c r="K20" s="2">
        <f t="shared" si="2"/>
        <v>1.38</v>
      </c>
      <c r="L20" s="2">
        <f t="shared" si="3"/>
        <v>55.2</v>
      </c>
      <c r="M20" s="2">
        <f t="shared" si="4"/>
        <v>0.1409774436</v>
      </c>
    </row>
    <row r="21" ht="15.75" customHeight="1">
      <c r="A21" s="3">
        <v>44929.0</v>
      </c>
      <c r="B21" s="2" t="s">
        <v>20</v>
      </c>
      <c r="C21" s="2" t="s">
        <v>23</v>
      </c>
      <c r="D21" s="2" t="s">
        <v>24</v>
      </c>
      <c r="E21" s="2">
        <v>3531.0</v>
      </c>
      <c r="F21" s="2">
        <v>317.78999999999996</v>
      </c>
      <c r="G21" s="2">
        <v>368.6363999999999</v>
      </c>
      <c r="H21" s="2">
        <v>41.0</v>
      </c>
      <c r="I21" s="2">
        <v>1056.0</v>
      </c>
      <c r="J21" s="2">
        <f t="shared" si="1"/>
        <v>1.16</v>
      </c>
      <c r="K21" s="2">
        <f t="shared" si="2"/>
        <v>1.16</v>
      </c>
      <c r="L21" s="2">
        <f t="shared" si="3"/>
        <v>104.4</v>
      </c>
      <c r="M21" s="2">
        <f t="shared" si="4"/>
        <v>0.1290160169</v>
      </c>
    </row>
    <row r="22" ht="15.75" customHeight="1">
      <c r="A22" s="3">
        <v>44929.0</v>
      </c>
      <c r="B22" s="2" t="s">
        <v>26</v>
      </c>
      <c r="C22" s="2" t="s">
        <v>27</v>
      </c>
      <c r="D22" s="2" t="s">
        <v>24</v>
      </c>
      <c r="E22" s="2">
        <v>10672.0</v>
      </c>
      <c r="F22" s="2">
        <v>960.48</v>
      </c>
      <c r="G22" s="2">
        <v>893.2464000000001</v>
      </c>
      <c r="H22" s="2">
        <v>144.0</v>
      </c>
      <c r="I22" s="2">
        <v>4153.0</v>
      </c>
      <c r="J22" s="2">
        <f t="shared" si="1"/>
        <v>0.93</v>
      </c>
      <c r="K22" s="2">
        <f t="shared" si="2"/>
        <v>0.93</v>
      </c>
      <c r="L22" s="2">
        <f t="shared" si="3"/>
        <v>83.7</v>
      </c>
      <c r="M22" s="2">
        <f t="shared" si="4"/>
        <v>0.1499250375</v>
      </c>
    </row>
    <row r="23" ht="15.75" customHeight="1">
      <c r="A23" s="3">
        <v>44929.0</v>
      </c>
      <c r="B23" s="2" t="s">
        <v>26</v>
      </c>
      <c r="C23" s="2" t="s">
        <v>31</v>
      </c>
      <c r="D23" s="2" t="s">
        <v>24</v>
      </c>
      <c r="E23" s="2">
        <v>12357.0</v>
      </c>
      <c r="F23" s="2">
        <v>494.28000000000003</v>
      </c>
      <c r="G23" s="2">
        <v>815.562</v>
      </c>
      <c r="H23" s="2">
        <v>25.0</v>
      </c>
      <c r="I23" s="2">
        <v>4199.0</v>
      </c>
      <c r="J23" s="2">
        <f t="shared" si="1"/>
        <v>1.65</v>
      </c>
      <c r="K23" s="2">
        <f t="shared" si="2"/>
        <v>1.65</v>
      </c>
      <c r="L23" s="2">
        <f t="shared" si="3"/>
        <v>66</v>
      </c>
      <c r="M23" s="2">
        <f t="shared" si="4"/>
        <v>0.05057861941</v>
      </c>
    </row>
    <row r="24" ht="15.75" customHeight="1">
      <c r="A24" s="3">
        <v>44929.0</v>
      </c>
      <c r="B24" s="2" t="s">
        <v>33</v>
      </c>
      <c r="C24" s="2" t="s">
        <v>34</v>
      </c>
      <c r="D24" s="2" t="s">
        <v>16</v>
      </c>
      <c r="E24" s="2">
        <v>3459.0</v>
      </c>
      <c r="F24" s="2">
        <v>207.54</v>
      </c>
      <c r="G24" s="2">
        <v>0.0</v>
      </c>
      <c r="H24" s="2">
        <v>31.0</v>
      </c>
      <c r="I24" s="2">
        <v>4222.0</v>
      </c>
      <c r="J24" s="2">
        <f t="shared" si="1"/>
        <v>0</v>
      </c>
      <c r="K24" s="2">
        <f t="shared" si="2"/>
        <v>0</v>
      </c>
      <c r="L24" s="2">
        <f t="shared" si="3"/>
        <v>0</v>
      </c>
      <c r="M24" s="2">
        <f t="shared" si="4"/>
        <v>0.1493687964</v>
      </c>
    </row>
    <row r="25" ht="15.75" customHeight="1">
      <c r="A25" s="3">
        <v>44929.0</v>
      </c>
      <c r="B25" s="2" t="s">
        <v>33</v>
      </c>
      <c r="C25" s="2" t="s">
        <v>35</v>
      </c>
      <c r="D25" s="2" t="s">
        <v>16</v>
      </c>
      <c r="E25" s="2">
        <v>4169.0</v>
      </c>
      <c r="F25" s="2">
        <v>333.52</v>
      </c>
      <c r="G25" s="2">
        <v>0.0</v>
      </c>
      <c r="H25" s="2">
        <v>47.0</v>
      </c>
      <c r="I25" s="2">
        <v>4774.0</v>
      </c>
      <c r="J25" s="2">
        <f t="shared" si="1"/>
        <v>0</v>
      </c>
      <c r="K25" s="2">
        <f t="shared" si="2"/>
        <v>0</v>
      </c>
      <c r="L25" s="2">
        <f t="shared" si="3"/>
        <v>0</v>
      </c>
      <c r="M25" s="2">
        <f t="shared" si="4"/>
        <v>0.1409210842</v>
      </c>
    </row>
    <row r="26" ht="15.75" customHeight="1">
      <c r="A26" s="3">
        <v>44930.0</v>
      </c>
      <c r="B26" s="2" t="s">
        <v>14</v>
      </c>
      <c r="C26" s="2" t="s">
        <v>15</v>
      </c>
      <c r="D26" s="2" t="s">
        <v>16</v>
      </c>
      <c r="E26" s="2">
        <v>7832.0</v>
      </c>
      <c r="F26" s="2">
        <v>704.88</v>
      </c>
      <c r="G26" s="2">
        <v>923.3928000000001</v>
      </c>
      <c r="H26" s="2">
        <v>49.0</v>
      </c>
      <c r="I26" s="2">
        <v>4485.0</v>
      </c>
      <c r="J26" s="2">
        <f t="shared" si="1"/>
        <v>1.31</v>
      </c>
      <c r="K26" s="2">
        <f t="shared" si="2"/>
        <v>1.31</v>
      </c>
      <c r="L26" s="2">
        <f t="shared" si="3"/>
        <v>117.9</v>
      </c>
      <c r="M26" s="2">
        <f t="shared" si="4"/>
        <v>0.0695153785</v>
      </c>
    </row>
    <row r="27" ht="15.75" customHeight="1">
      <c r="A27" s="3">
        <v>44930.0</v>
      </c>
      <c r="B27" s="2" t="s">
        <v>14</v>
      </c>
      <c r="C27" s="2" t="s">
        <v>17</v>
      </c>
      <c r="D27" s="2" t="s">
        <v>13</v>
      </c>
      <c r="E27" s="2">
        <v>7392.0</v>
      </c>
      <c r="F27" s="2">
        <v>443.52</v>
      </c>
      <c r="G27" s="2">
        <v>669.7152</v>
      </c>
      <c r="H27" s="2">
        <v>35.0</v>
      </c>
      <c r="I27" s="2">
        <v>290.0</v>
      </c>
      <c r="J27" s="2">
        <f t="shared" si="1"/>
        <v>1.51</v>
      </c>
      <c r="K27" s="2">
        <f t="shared" si="2"/>
        <v>1.51</v>
      </c>
      <c r="L27" s="2">
        <f t="shared" si="3"/>
        <v>90.6</v>
      </c>
      <c r="M27" s="2">
        <f t="shared" si="4"/>
        <v>0.07891414141</v>
      </c>
    </row>
    <row r="28" ht="15.75" customHeight="1">
      <c r="A28" s="3">
        <v>44930.0</v>
      </c>
      <c r="B28" s="2" t="s">
        <v>20</v>
      </c>
      <c r="C28" s="2" t="s">
        <v>21</v>
      </c>
      <c r="D28" s="2" t="s">
        <v>18</v>
      </c>
      <c r="E28" s="2">
        <v>2077.0</v>
      </c>
      <c r="F28" s="2">
        <v>145.39000000000001</v>
      </c>
      <c r="G28" s="2">
        <v>231.17010000000005</v>
      </c>
      <c r="H28" s="2">
        <v>25.0</v>
      </c>
      <c r="I28" s="2">
        <v>1699.0</v>
      </c>
      <c r="J28" s="2">
        <f t="shared" si="1"/>
        <v>1.59</v>
      </c>
      <c r="K28" s="2">
        <f t="shared" si="2"/>
        <v>1.59</v>
      </c>
      <c r="L28" s="2">
        <f t="shared" si="3"/>
        <v>111.3</v>
      </c>
      <c r="M28" s="2">
        <f t="shared" si="4"/>
        <v>0.1719513034</v>
      </c>
    </row>
    <row r="29" ht="15.75" customHeight="1">
      <c r="A29" s="3">
        <v>44930.0</v>
      </c>
      <c r="B29" s="2" t="s">
        <v>20</v>
      </c>
      <c r="C29" s="2" t="s">
        <v>23</v>
      </c>
      <c r="D29" s="2" t="s">
        <v>13</v>
      </c>
      <c r="E29" s="2">
        <v>3673.0</v>
      </c>
      <c r="F29" s="2">
        <v>183.65</v>
      </c>
      <c r="G29" s="2">
        <v>126.71849999999999</v>
      </c>
      <c r="H29" s="2">
        <v>33.0</v>
      </c>
      <c r="I29" s="2">
        <v>1760.0</v>
      </c>
      <c r="J29" s="2">
        <f t="shared" si="1"/>
        <v>0.69</v>
      </c>
      <c r="K29" s="2">
        <f t="shared" si="2"/>
        <v>0.69</v>
      </c>
      <c r="L29" s="2">
        <f t="shared" si="3"/>
        <v>34.5</v>
      </c>
      <c r="M29" s="2">
        <f t="shared" si="4"/>
        <v>0.179689627</v>
      </c>
    </row>
    <row r="30" ht="15.75" customHeight="1">
      <c r="A30" s="3">
        <v>44930.0</v>
      </c>
      <c r="B30" s="2" t="s">
        <v>26</v>
      </c>
      <c r="C30" s="2" t="s">
        <v>27</v>
      </c>
      <c r="D30" s="2" t="s">
        <v>24</v>
      </c>
      <c r="E30" s="2">
        <v>14691.0</v>
      </c>
      <c r="F30" s="2">
        <v>734.5500000000001</v>
      </c>
      <c r="G30" s="2">
        <v>1234.044</v>
      </c>
      <c r="H30" s="2">
        <v>88.0</v>
      </c>
      <c r="I30" s="2">
        <v>573.0</v>
      </c>
      <c r="J30" s="2">
        <f t="shared" si="1"/>
        <v>1.68</v>
      </c>
      <c r="K30" s="2">
        <f t="shared" si="2"/>
        <v>1.68</v>
      </c>
      <c r="L30" s="2">
        <f t="shared" si="3"/>
        <v>84</v>
      </c>
      <c r="M30" s="2">
        <f t="shared" si="4"/>
        <v>0.1198012389</v>
      </c>
    </row>
    <row r="31" ht="15.75" customHeight="1">
      <c r="A31" s="3">
        <v>44930.0</v>
      </c>
      <c r="B31" s="2" t="s">
        <v>26</v>
      </c>
      <c r="C31" s="2" t="s">
        <v>31</v>
      </c>
      <c r="D31" s="2" t="s">
        <v>30</v>
      </c>
      <c r="E31" s="2">
        <v>12173.0</v>
      </c>
      <c r="F31" s="2">
        <v>608.65</v>
      </c>
      <c r="G31" s="2">
        <v>919.0615</v>
      </c>
      <c r="H31" s="2">
        <v>55.0</v>
      </c>
      <c r="I31" s="2">
        <v>4955.0</v>
      </c>
      <c r="J31" s="2">
        <f t="shared" si="1"/>
        <v>1.51</v>
      </c>
      <c r="K31" s="2">
        <f t="shared" si="2"/>
        <v>1.51</v>
      </c>
      <c r="L31" s="2">
        <f t="shared" si="3"/>
        <v>75.5</v>
      </c>
      <c r="M31" s="2">
        <f t="shared" si="4"/>
        <v>0.09036392015</v>
      </c>
    </row>
    <row r="32" ht="15.75" customHeight="1">
      <c r="A32" s="3">
        <v>44930.0</v>
      </c>
      <c r="B32" s="2" t="s">
        <v>33</v>
      </c>
      <c r="C32" s="2" t="s">
        <v>34</v>
      </c>
      <c r="D32" s="2" t="s">
        <v>30</v>
      </c>
      <c r="E32" s="2">
        <v>2094.0</v>
      </c>
      <c r="F32" s="2">
        <v>209.4</v>
      </c>
      <c r="G32" s="2">
        <v>0.0</v>
      </c>
      <c r="H32" s="2">
        <v>40.0</v>
      </c>
      <c r="I32" s="2">
        <v>1947.0</v>
      </c>
      <c r="J32" s="2">
        <f t="shared" si="1"/>
        <v>0</v>
      </c>
      <c r="K32" s="2">
        <f t="shared" si="2"/>
        <v>0</v>
      </c>
      <c r="L32" s="2">
        <f t="shared" si="3"/>
        <v>0</v>
      </c>
      <c r="M32" s="2">
        <f t="shared" si="4"/>
        <v>0.1910219675</v>
      </c>
    </row>
    <row r="33" ht="15.75" customHeight="1">
      <c r="A33" s="3">
        <v>44930.0</v>
      </c>
      <c r="B33" s="2" t="s">
        <v>33</v>
      </c>
      <c r="C33" s="2" t="s">
        <v>35</v>
      </c>
      <c r="D33" s="2" t="s">
        <v>16</v>
      </c>
      <c r="E33" s="2">
        <v>3910.0</v>
      </c>
      <c r="F33" s="2">
        <v>391.0</v>
      </c>
      <c r="G33" s="2">
        <v>0.0</v>
      </c>
      <c r="H33" s="2">
        <v>74.0</v>
      </c>
      <c r="I33" s="2">
        <v>3789.0</v>
      </c>
      <c r="J33" s="2">
        <f t="shared" si="1"/>
        <v>0</v>
      </c>
      <c r="K33" s="2">
        <f t="shared" si="2"/>
        <v>0</v>
      </c>
      <c r="L33" s="2">
        <f t="shared" si="3"/>
        <v>0</v>
      </c>
      <c r="M33" s="2">
        <f t="shared" si="4"/>
        <v>0.189258312</v>
      </c>
    </row>
    <row r="34" ht="15.75" customHeight="1">
      <c r="A34" s="3">
        <v>44931.0</v>
      </c>
      <c r="B34" s="2" t="s">
        <v>14</v>
      </c>
      <c r="C34" s="2" t="s">
        <v>15</v>
      </c>
      <c r="D34" s="2" t="s">
        <v>30</v>
      </c>
      <c r="E34" s="2">
        <v>6696.0</v>
      </c>
      <c r="F34" s="2">
        <v>669.6</v>
      </c>
      <c r="G34" s="2">
        <v>736.5600000000001</v>
      </c>
      <c r="H34" s="2">
        <v>87.0</v>
      </c>
      <c r="I34" s="2">
        <v>2091.0</v>
      </c>
      <c r="J34" s="2">
        <f t="shared" si="1"/>
        <v>1.1</v>
      </c>
      <c r="K34" s="2">
        <f t="shared" si="2"/>
        <v>1.1</v>
      </c>
      <c r="L34" s="2">
        <f t="shared" si="3"/>
        <v>110</v>
      </c>
      <c r="M34" s="2">
        <f t="shared" si="4"/>
        <v>0.1299283154</v>
      </c>
    </row>
    <row r="35" ht="15.75" customHeight="1">
      <c r="A35" s="3">
        <v>44931.0</v>
      </c>
      <c r="B35" s="2" t="s">
        <v>14</v>
      </c>
      <c r="C35" s="2" t="s">
        <v>17</v>
      </c>
      <c r="D35" s="2" t="s">
        <v>25</v>
      </c>
      <c r="E35" s="2">
        <v>7746.0</v>
      </c>
      <c r="F35" s="2">
        <v>697.14</v>
      </c>
      <c r="G35" s="2">
        <v>237.0276</v>
      </c>
      <c r="H35" s="2">
        <v>49.0</v>
      </c>
      <c r="I35" s="2">
        <v>3589.0</v>
      </c>
      <c r="J35" s="2">
        <f t="shared" si="1"/>
        <v>0.34</v>
      </c>
      <c r="K35" s="2">
        <f t="shared" si="2"/>
        <v>0.34</v>
      </c>
      <c r="L35" s="2">
        <f t="shared" si="3"/>
        <v>30.6</v>
      </c>
      <c r="M35" s="2">
        <f t="shared" si="4"/>
        <v>0.07028717331</v>
      </c>
    </row>
    <row r="36" ht="15.75" customHeight="1">
      <c r="A36" s="3">
        <v>44931.0</v>
      </c>
      <c r="B36" s="2" t="s">
        <v>20</v>
      </c>
      <c r="C36" s="2" t="s">
        <v>21</v>
      </c>
      <c r="D36" s="2" t="s">
        <v>16</v>
      </c>
      <c r="E36" s="2">
        <v>2237.0</v>
      </c>
      <c r="F36" s="2">
        <v>178.96</v>
      </c>
      <c r="G36" s="2">
        <v>345.3928</v>
      </c>
      <c r="H36" s="2">
        <v>13.0</v>
      </c>
      <c r="I36" s="2">
        <v>3921.0</v>
      </c>
      <c r="J36" s="2">
        <f t="shared" si="1"/>
        <v>1.93</v>
      </c>
      <c r="K36" s="2">
        <f t="shared" si="2"/>
        <v>1.93</v>
      </c>
      <c r="L36" s="2">
        <f t="shared" si="3"/>
        <v>154.4</v>
      </c>
      <c r="M36" s="2">
        <f t="shared" si="4"/>
        <v>0.07264193116</v>
      </c>
    </row>
    <row r="37" ht="15.75" customHeight="1">
      <c r="A37" s="3">
        <v>44931.0</v>
      </c>
      <c r="B37" s="2" t="s">
        <v>20</v>
      </c>
      <c r="C37" s="2" t="s">
        <v>23</v>
      </c>
      <c r="D37" s="2" t="s">
        <v>24</v>
      </c>
      <c r="E37" s="2">
        <v>4068.0</v>
      </c>
      <c r="F37" s="2">
        <v>244.07999999999998</v>
      </c>
      <c r="G37" s="2">
        <v>224.5536</v>
      </c>
      <c r="H37" s="2">
        <v>27.0</v>
      </c>
      <c r="I37" s="2">
        <v>4796.0</v>
      </c>
      <c r="J37" s="2">
        <f t="shared" si="1"/>
        <v>0.92</v>
      </c>
      <c r="K37" s="2">
        <f t="shared" si="2"/>
        <v>0.92</v>
      </c>
      <c r="L37" s="2">
        <f t="shared" si="3"/>
        <v>55.2</v>
      </c>
      <c r="M37" s="2">
        <f t="shared" si="4"/>
        <v>0.110619469</v>
      </c>
    </row>
    <row r="38" ht="15.75" customHeight="1">
      <c r="A38" s="3">
        <v>44931.0</v>
      </c>
      <c r="B38" s="2" t="s">
        <v>26</v>
      </c>
      <c r="C38" s="2" t="s">
        <v>27</v>
      </c>
      <c r="D38" s="2" t="s">
        <v>13</v>
      </c>
      <c r="E38" s="2">
        <v>10525.0</v>
      </c>
      <c r="F38" s="2">
        <v>210.5</v>
      </c>
      <c r="G38" s="2">
        <v>309.435</v>
      </c>
      <c r="H38" s="2">
        <v>23.0</v>
      </c>
      <c r="I38" s="2">
        <v>4770.0</v>
      </c>
      <c r="J38" s="2">
        <f t="shared" si="1"/>
        <v>1.47</v>
      </c>
      <c r="K38" s="2">
        <f t="shared" si="2"/>
        <v>1.47</v>
      </c>
      <c r="L38" s="2">
        <f t="shared" si="3"/>
        <v>29.4</v>
      </c>
      <c r="M38" s="2">
        <f t="shared" si="4"/>
        <v>0.109263658</v>
      </c>
    </row>
    <row r="39" ht="15.75" customHeight="1">
      <c r="A39" s="3">
        <v>44931.0</v>
      </c>
      <c r="B39" s="2" t="s">
        <v>26</v>
      </c>
      <c r="C39" s="2" t="s">
        <v>31</v>
      </c>
      <c r="D39" s="2" t="s">
        <v>24</v>
      </c>
      <c r="E39" s="2">
        <v>13719.0</v>
      </c>
      <c r="F39" s="2">
        <v>685.95</v>
      </c>
      <c r="G39" s="2">
        <v>1042.644</v>
      </c>
      <c r="H39" s="2">
        <v>117.0</v>
      </c>
      <c r="I39" s="2">
        <v>4524.0</v>
      </c>
      <c r="J39" s="2">
        <f t="shared" si="1"/>
        <v>1.52</v>
      </c>
      <c r="K39" s="2">
        <f t="shared" si="2"/>
        <v>1.52</v>
      </c>
      <c r="L39" s="2">
        <f t="shared" si="3"/>
        <v>76</v>
      </c>
      <c r="M39" s="2">
        <f t="shared" si="4"/>
        <v>0.1705663678</v>
      </c>
    </row>
    <row r="40" ht="15.75" customHeight="1">
      <c r="A40" s="3">
        <v>44931.0</v>
      </c>
      <c r="B40" s="2" t="s">
        <v>33</v>
      </c>
      <c r="C40" s="2" t="s">
        <v>34</v>
      </c>
      <c r="D40" s="2" t="s">
        <v>24</v>
      </c>
      <c r="E40" s="2">
        <v>3539.0</v>
      </c>
      <c r="F40" s="2">
        <v>353.90000000000003</v>
      </c>
      <c r="G40" s="2">
        <v>0.0</v>
      </c>
      <c r="H40" s="2">
        <v>18.0</v>
      </c>
      <c r="I40" s="2">
        <v>1015.0</v>
      </c>
      <c r="J40" s="2">
        <f t="shared" si="1"/>
        <v>0</v>
      </c>
      <c r="K40" s="2">
        <f t="shared" si="2"/>
        <v>0</v>
      </c>
      <c r="L40" s="2">
        <f t="shared" si="3"/>
        <v>0</v>
      </c>
      <c r="M40" s="2">
        <f t="shared" si="4"/>
        <v>0.05086182537</v>
      </c>
    </row>
    <row r="41" ht="15.75" customHeight="1">
      <c r="A41" s="3">
        <v>44931.0</v>
      </c>
      <c r="B41" s="2" t="s">
        <v>33</v>
      </c>
      <c r="C41" s="2" t="s">
        <v>35</v>
      </c>
      <c r="D41" s="2" t="s">
        <v>32</v>
      </c>
      <c r="E41" s="2">
        <v>3234.0</v>
      </c>
      <c r="F41" s="2">
        <v>323.40000000000003</v>
      </c>
      <c r="G41" s="2">
        <v>0.0</v>
      </c>
      <c r="H41" s="2">
        <v>39.0</v>
      </c>
      <c r="I41" s="2">
        <v>142.0</v>
      </c>
      <c r="J41" s="2">
        <f t="shared" si="1"/>
        <v>0</v>
      </c>
      <c r="K41" s="2">
        <f t="shared" si="2"/>
        <v>0</v>
      </c>
      <c r="L41" s="2">
        <f t="shared" si="3"/>
        <v>0</v>
      </c>
      <c r="M41" s="2">
        <f t="shared" si="4"/>
        <v>0.120593692</v>
      </c>
    </row>
    <row r="42" ht="15.75" customHeight="1">
      <c r="A42" s="3">
        <v>44932.0</v>
      </c>
      <c r="B42" s="2" t="s">
        <v>14</v>
      </c>
      <c r="C42" s="2" t="s">
        <v>15</v>
      </c>
      <c r="D42" s="2" t="s">
        <v>13</v>
      </c>
      <c r="E42" s="2">
        <v>9478.0</v>
      </c>
      <c r="F42" s="2">
        <v>473.90000000000003</v>
      </c>
      <c r="G42" s="2">
        <v>217.99400000000003</v>
      </c>
      <c r="H42" s="2">
        <v>71.0</v>
      </c>
      <c r="I42" s="2">
        <v>230.0</v>
      </c>
      <c r="J42" s="2">
        <f t="shared" si="1"/>
        <v>0.46</v>
      </c>
      <c r="K42" s="2">
        <f t="shared" si="2"/>
        <v>0.46</v>
      </c>
      <c r="L42" s="2">
        <f t="shared" si="3"/>
        <v>23</v>
      </c>
      <c r="M42" s="2">
        <f t="shared" si="4"/>
        <v>0.1498206373</v>
      </c>
    </row>
    <row r="43" ht="15.75" customHeight="1">
      <c r="A43" s="3">
        <v>44932.0</v>
      </c>
      <c r="B43" s="2" t="s">
        <v>14</v>
      </c>
      <c r="C43" s="2" t="s">
        <v>17</v>
      </c>
      <c r="D43" s="2" t="s">
        <v>25</v>
      </c>
      <c r="E43" s="2">
        <v>8895.0</v>
      </c>
      <c r="F43" s="2">
        <v>444.75</v>
      </c>
      <c r="G43" s="2">
        <v>849.4725</v>
      </c>
      <c r="H43" s="2">
        <v>80.0</v>
      </c>
      <c r="I43" s="2">
        <v>2148.0</v>
      </c>
      <c r="J43" s="2">
        <f t="shared" si="1"/>
        <v>1.91</v>
      </c>
      <c r="K43" s="2">
        <f t="shared" si="2"/>
        <v>1.91</v>
      </c>
      <c r="L43" s="2">
        <f t="shared" si="3"/>
        <v>95.5</v>
      </c>
      <c r="M43" s="2">
        <f t="shared" si="4"/>
        <v>0.179876335</v>
      </c>
    </row>
    <row r="44" ht="15.75" customHeight="1">
      <c r="A44" s="3">
        <v>44932.0</v>
      </c>
      <c r="B44" s="2" t="s">
        <v>20</v>
      </c>
      <c r="C44" s="2" t="s">
        <v>21</v>
      </c>
      <c r="D44" s="2" t="s">
        <v>18</v>
      </c>
      <c r="E44" s="2">
        <v>4235.0</v>
      </c>
      <c r="F44" s="2">
        <v>381.15</v>
      </c>
      <c r="G44" s="2">
        <v>224.87849999999997</v>
      </c>
      <c r="H44" s="2">
        <v>76.0</v>
      </c>
      <c r="I44" s="2">
        <v>4551.0</v>
      </c>
      <c r="J44" s="2">
        <f t="shared" si="1"/>
        <v>0.59</v>
      </c>
      <c r="K44" s="2">
        <f t="shared" si="2"/>
        <v>0.59</v>
      </c>
      <c r="L44" s="2">
        <f t="shared" si="3"/>
        <v>53.1</v>
      </c>
      <c r="M44" s="2">
        <f t="shared" si="4"/>
        <v>0.199396563</v>
      </c>
    </row>
    <row r="45" ht="15.75" customHeight="1">
      <c r="A45" s="3">
        <v>44932.0</v>
      </c>
      <c r="B45" s="2" t="s">
        <v>20</v>
      </c>
      <c r="C45" s="2" t="s">
        <v>23</v>
      </c>
      <c r="D45" s="2" t="s">
        <v>30</v>
      </c>
      <c r="E45" s="2">
        <v>4263.0</v>
      </c>
      <c r="F45" s="2">
        <v>213.15</v>
      </c>
      <c r="G45" s="2">
        <v>189.70350000000002</v>
      </c>
      <c r="H45" s="2">
        <v>38.0</v>
      </c>
      <c r="I45" s="2">
        <v>2909.0</v>
      </c>
      <c r="J45" s="2">
        <f t="shared" si="1"/>
        <v>0.89</v>
      </c>
      <c r="K45" s="2">
        <f t="shared" si="2"/>
        <v>0.89</v>
      </c>
      <c r="L45" s="2">
        <f t="shared" si="3"/>
        <v>44.5</v>
      </c>
      <c r="M45" s="2">
        <f t="shared" si="4"/>
        <v>0.1782782078</v>
      </c>
    </row>
    <row r="46" ht="15.75" customHeight="1">
      <c r="A46" s="3">
        <v>44932.0</v>
      </c>
      <c r="B46" s="2" t="s">
        <v>26</v>
      </c>
      <c r="C46" s="2" t="s">
        <v>27</v>
      </c>
      <c r="D46" s="2" t="s">
        <v>25</v>
      </c>
      <c r="E46" s="2">
        <v>10274.0</v>
      </c>
      <c r="F46" s="2">
        <v>924.66</v>
      </c>
      <c r="G46" s="2">
        <v>638.0153999999999</v>
      </c>
      <c r="H46" s="2">
        <v>46.0</v>
      </c>
      <c r="I46" s="2">
        <v>2740.0</v>
      </c>
      <c r="J46" s="2">
        <f t="shared" si="1"/>
        <v>0.69</v>
      </c>
      <c r="K46" s="2">
        <f t="shared" si="2"/>
        <v>0.69</v>
      </c>
      <c r="L46" s="2">
        <f t="shared" si="3"/>
        <v>62.1</v>
      </c>
      <c r="M46" s="2">
        <f t="shared" si="4"/>
        <v>0.04974801549</v>
      </c>
    </row>
    <row r="47" ht="15.75" customHeight="1">
      <c r="A47" s="3">
        <v>44932.0</v>
      </c>
      <c r="B47" s="2" t="s">
        <v>26</v>
      </c>
      <c r="C47" s="2" t="s">
        <v>31</v>
      </c>
      <c r="D47" s="2" t="s">
        <v>30</v>
      </c>
      <c r="E47" s="2">
        <v>14596.0</v>
      </c>
      <c r="F47" s="2">
        <v>729.8000000000001</v>
      </c>
      <c r="G47" s="2">
        <v>561.946</v>
      </c>
      <c r="H47" s="2">
        <v>131.0</v>
      </c>
      <c r="I47" s="2">
        <v>910.0</v>
      </c>
      <c r="J47" s="2">
        <f t="shared" si="1"/>
        <v>0.77</v>
      </c>
      <c r="K47" s="2">
        <f t="shared" si="2"/>
        <v>0.77</v>
      </c>
      <c r="L47" s="2">
        <f t="shared" si="3"/>
        <v>38.5</v>
      </c>
      <c r="M47" s="2">
        <f t="shared" si="4"/>
        <v>0.1795012332</v>
      </c>
    </row>
    <row r="48" ht="15.75" customHeight="1">
      <c r="A48" s="3">
        <v>44932.0</v>
      </c>
      <c r="B48" s="2" t="s">
        <v>33</v>
      </c>
      <c r="C48" s="2" t="s">
        <v>34</v>
      </c>
      <c r="D48" s="2" t="s">
        <v>28</v>
      </c>
      <c r="E48" s="2">
        <v>3769.0</v>
      </c>
      <c r="F48" s="2">
        <v>226.14</v>
      </c>
      <c r="G48" s="2">
        <v>0.0</v>
      </c>
      <c r="H48" s="2">
        <v>20.0</v>
      </c>
      <c r="I48" s="2">
        <v>3585.0</v>
      </c>
      <c r="J48" s="2">
        <f t="shared" si="1"/>
        <v>0</v>
      </c>
      <c r="K48" s="2">
        <f t="shared" si="2"/>
        <v>0</v>
      </c>
      <c r="L48" s="2">
        <f t="shared" si="3"/>
        <v>0</v>
      </c>
      <c r="M48" s="2">
        <f t="shared" si="4"/>
        <v>0.08844078889</v>
      </c>
    </row>
    <row r="49" ht="15.75" customHeight="1">
      <c r="A49" s="3">
        <v>44932.0</v>
      </c>
      <c r="B49" s="2" t="s">
        <v>33</v>
      </c>
      <c r="C49" s="2" t="s">
        <v>35</v>
      </c>
      <c r="D49" s="2" t="s">
        <v>13</v>
      </c>
      <c r="E49" s="2">
        <v>4251.0</v>
      </c>
      <c r="F49" s="2">
        <v>297.57000000000005</v>
      </c>
      <c r="G49" s="2">
        <v>0.0</v>
      </c>
      <c r="H49" s="2">
        <v>36.0</v>
      </c>
      <c r="I49" s="2">
        <v>817.0</v>
      </c>
      <c r="J49" s="2">
        <f t="shared" si="1"/>
        <v>0</v>
      </c>
      <c r="K49" s="2">
        <f t="shared" si="2"/>
        <v>0</v>
      </c>
      <c r="L49" s="2">
        <f t="shared" si="3"/>
        <v>0</v>
      </c>
      <c r="M49" s="2">
        <f t="shared" si="4"/>
        <v>0.1209799375</v>
      </c>
    </row>
    <row r="50" ht="15.75" customHeight="1">
      <c r="A50" s="3">
        <v>46029.0</v>
      </c>
      <c r="B50" s="2" t="s">
        <v>14</v>
      </c>
      <c r="C50" s="2" t="s">
        <v>15</v>
      </c>
      <c r="D50" s="2" t="s">
        <v>16</v>
      </c>
      <c r="E50" s="2">
        <v>9592.0</v>
      </c>
      <c r="F50" s="2">
        <v>767.36</v>
      </c>
      <c r="G50" s="2">
        <v>383.68</v>
      </c>
      <c r="H50" s="2">
        <v>61.0</v>
      </c>
      <c r="I50" s="2">
        <v>3528.0</v>
      </c>
      <c r="J50" s="2">
        <f t="shared" si="1"/>
        <v>0.5</v>
      </c>
      <c r="K50" s="2">
        <f t="shared" si="2"/>
        <v>0.5</v>
      </c>
      <c r="L50" s="2">
        <f t="shared" si="3"/>
        <v>40</v>
      </c>
      <c r="M50" s="2">
        <f t="shared" si="4"/>
        <v>0.07949332777</v>
      </c>
    </row>
    <row r="51" ht="15.75" customHeight="1">
      <c r="A51" s="3">
        <v>46029.0</v>
      </c>
      <c r="B51" s="2" t="s">
        <v>14</v>
      </c>
      <c r="C51" s="2" t="s">
        <v>17</v>
      </c>
      <c r="D51" s="2" t="s">
        <v>13</v>
      </c>
      <c r="E51" s="2">
        <v>10885.0</v>
      </c>
      <c r="F51" s="2">
        <v>544.25</v>
      </c>
      <c r="G51" s="2">
        <v>653.1</v>
      </c>
      <c r="H51" s="2">
        <v>54.0</v>
      </c>
      <c r="I51" s="2">
        <v>2458.0</v>
      </c>
      <c r="J51" s="2">
        <f t="shared" si="1"/>
        <v>1.2</v>
      </c>
      <c r="K51" s="2">
        <f t="shared" si="2"/>
        <v>1.2</v>
      </c>
      <c r="L51" s="2">
        <f t="shared" si="3"/>
        <v>60</v>
      </c>
      <c r="M51" s="2">
        <f t="shared" si="4"/>
        <v>0.09921910887</v>
      </c>
    </row>
    <row r="52" ht="15.75" customHeight="1">
      <c r="A52" s="3">
        <v>46029.0</v>
      </c>
      <c r="B52" s="2" t="s">
        <v>20</v>
      </c>
      <c r="C52" s="2" t="s">
        <v>21</v>
      </c>
      <c r="D52" s="2" t="s">
        <v>13</v>
      </c>
      <c r="E52" s="2">
        <v>4475.0</v>
      </c>
      <c r="F52" s="2">
        <v>447.5</v>
      </c>
      <c r="G52" s="2">
        <v>774.175</v>
      </c>
      <c r="H52" s="2">
        <v>58.0</v>
      </c>
      <c r="I52" s="2">
        <v>1084.0</v>
      </c>
      <c r="J52" s="2">
        <f t="shared" si="1"/>
        <v>1.73</v>
      </c>
      <c r="K52" s="2">
        <f t="shared" si="2"/>
        <v>1.73</v>
      </c>
      <c r="L52" s="2">
        <f t="shared" si="3"/>
        <v>173</v>
      </c>
      <c r="M52" s="2">
        <f t="shared" si="4"/>
        <v>0.1296089385</v>
      </c>
    </row>
    <row r="53" ht="15.75" customHeight="1">
      <c r="A53" s="3">
        <v>46029.0</v>
      </c>
      <c r="B53" s="2" t="s">
        <v>20</v>
      </c>
      <c r="C53" s="2" t="s">
        <v>23</v>
      </c>
      <c r="D53" s="2" t="s">
        <v>25</v>
      </c>
      <c r="E53" s="2">
        <v>2381.0</v>
      </c>
      <c r="F53" s="2">
        <v>166.67000000000002</v>
      </c>
      <c r="G53" s="2">
        <v>291.6725</v>
      </c>
      <c r="H53" s="2">
        <v>27.0</v>
      </c>
      <c r="I53" s="2">
        <v>1728.0</v>
      </c>
      <c r="J53" s="2">
        <f t="shared" si="1"/>
        <v>1.75</v>
      </c>
      <c r="K53" s="2">
        <f t="shared" si="2"/>
        <v>1.75</v>
      </c>
      <c r="L53" s="2">
        <f t="shared" si="3"/>
        <v>122.5</v>
      </c>
      <c r="M53" s="2">
        <f t="shared" si="4"/>
        <v>0.1619967601</v>
      </c>
    </row>
    <row r="54" ht="15.75" customHeight="1">
      <c r="A54" s="3">
        <v>46029.0</v>
      </c>
      <c r="B54" s="2" t="s">
        <v>26</v>
      </c>
      <c r="C54" s="2" t="s">
        <v>27</v>
      </c>
      <c r="D54" s="2" t="s">
        <v>19</v>
      </c>
      <c r="E54" s="2">
        <v>9900.0</v>
      </c>
      <c r="F54" s="2">
        <v>297.0</v>
      </c>
      <c r="G54" s="2">
        <v>270.27</v>
      </c>
      <c r="H54" s="2">
        <v>50.0</v>
      </c>
      <c r="I54" s="2">
        <v>4751.0</v>
      </c>
      <c r="J54" s="2">
        <f t="shared" si="1"/>
        <v>0.91</v>
      </c>
      <c r="K54" s="2">
        <f t="shared" si="2"/>
        <v>0.91</v>
      </c>
      <c r="L54" s="2">
        <f t="shared" si="3"/>
        <v>27.3</v>
      </c>
      <c r="M54" s="2">
        <f t="shared" si="4"/>
        <v>0.1683501684</v>
      </c>
    </row>
    <row r="55" ht="15.75" customHeight="1">
      <c r="A55" s="3">
        <v>46029.0</v>
      </c>
      <c r="B55" s="2" t="s">
        <v>26</v>
      </c>
      <c r="C55" s="2" t="s">
        <v>31</v>
      </c>
      <c r="D55" s="2" t="s">
        <v>16</v>
      </c>
      <c r="E55" s="2">
        <v>13262.0</v>
      </c>
      <c r="F55" s="2">
        <v>265.24</v>
      </c>
      <c r="G55" s="2">
        <v>132.62</v>
      </c>
      <c r="H55" s="2">
        <v>50.0</v>
      </c>
      <c r="I55" s="2">
        <v>3952.0</v>
      </c>
      <c r="J55" s="2">
        <f t="shared" si="1"/>
        <v>0.5</v>
      </c>
      <c r="K55" s="2">
        <f t="shared" si="2"/>
        <v>0.5</v>
      </c>
      <c r="L55" s="2">
        <f t="shared" si="3"/>
        <v>10</v>
      </c>
      <c r="M55" s="2">
        <f t="shared" si="4"/>
        <v>0.1885085206</v>
      </c>
    </row>
    <row r="56" ht="15.75" customHeight="1">
      <c r="A56" s="3">
        <v>46029.0</v>
      </c>
      <c r="B56" s="2" t="s">
        <v>33</v>
      </c>
      <c r="C56" s="2" t="s">
        <v>34</v>
      </c>
      <c r="D56" s="2" t="s">
        <v>13</v>
      </c>
      <c r="E56" s="2">
        <v>2781.0</v>
      </c>
      <c r="F56" s="2">
        <v>222.48000000000002</v>
      </c>
      <c r="G56" s="2">
        <v>0.0</v>
      </c>
      <c r="H56" s="2">
        <v>40.0</v>
      </c>
      <c r="I56" s="2">
        <v>3085.0</v>
      </c>
      <c r="J56" s="2">
        <f t="shared" si="1"/>
        <v>0</v>
      </c>
      <c r="K56" s="2">
        <f t="shared" si="2"/>
        <v>0</v>
      </c>
      <c r="L56" s="2">
        <f t="shared" si="3"/>
        <v>0</v>
      </c>
      <c r="M56" s="2">
        <f t="shared" si="4"/>
        <v>0.1797914419</v>
      </c>
    </row>
    <row r="57" ht="15.75" customHeight="1">
      <c r="A57" s="3">
        <v>46029.0</v>
      </c>
      <c r="B57" s="2" t="s">
        <v>33</v>
      </c>
      <c r="C57" s="2" t="s">
        <v>35</v>
      </c>
      <c r="D57" s="2" t="s">
        <v>19</v>
      </c>
      <c r="E57" s="2">
        <v>4422.0</v>
      </c>
      <c r="F57" s="2">
        <v>353.76</v>
      </c>
      <c r="G57" s="2">
        <v>0.0</v>
      </c>
      <c r="H57" s="2">
        <v>46.0</v>
      </c>
      <c r="I57" s="2">
        <v>2570.0</v>
      </c>
      <c r="J57" s="2">
        <f t="shared" si="1"/>
        <v>0</v>
      </c>
      <c r="K57" s="2">
        <f t="shared" si="2"/>
        <v>0</v>
      </c>
      <c r="L57" s="2">
        <f t="shared" si="3"/>
        <v>0</v>
      </c>
      <c r="M57" s="2">
        <f t="shared" si="4"/>
        <v>0.1300316599</v>
      </c>
    </row>
    <row r="58" ht="15.75" customHeight="1">
      <c r="A58" s="3">
        <v>44934.0</v>
      </c>
      <c r="B58" s="2" t="s">
        <v>14</v>
      </c>
      <c r="C58" s="2" t="s">
        <v>15</v>
      </c>
      <c r="D58" s="2" t="s">
        <v>19</v>
      </c>
      <c r="E58" s="2">
        <v>8113.0</v>
      </c>
      <c r="F58" s="2">
        <v>324.52</v>
      </c>
      <c r="G58" s="2">
        <v>629.5687999999999</v>
      </c>
      <c r="H58" s="2">
        <v>39.0</v>
      </c>
      <c r="I58" s="2">
        <v>2440.0</v>
      </c>
      <c r="J58" s="2">
        <f t="shared" si="1"/>
        <v>1.94</v>
      </c>
      <c r="K58" s="2">
        <f t="shared" si="2"/>
        <v>1.94</v>
      </c>
      <c r="L58" s="2">
        <f t="shared" si="3"/>
        <v>77.6</v>
      </c>
      <c r="M58" s="2">
        <f t="shared" si="4"/>
        <v>0.1201774929</v>
      </c>
    </row>
    <row r="59" ht="15.75" customHeight="1">
      <c r="A59" s="3">
        <v>44934.0</v>
      </c>
      <c r="B59" s="2" t="s">
        <v>14</v>
      </c>
      <c r="C59" s="2" t="s">
        <v>17</v>
      </c>
      <c r="D59" s="2" t="s">
        <v>22</v>
      </c>
      <c r="E59" s="2">
        <v>10637.0</v>
      </c>
      <c r="F59" s="2">
        <v>638.22</v>
      </c>
      <c r="G59" s="2">
        <v>338.25660000000005</v>
      </c>
      <c r="H59" s="2">
        <v>51.0</v>
      </c>
      <c r="I59" s="2">
        <v>2196.0</v>
      </c>
      <c r="J59" s="2">
        <f t="shared" si="1"/>
        <v>0.53</v>
      </c>
      <c r="K59" s="2">
        <f t="shared" si="2"/>
        <v>0.53</v>
      </c>
      <c r="L59" s="2">
        <f t="shared" si="3"/>
        <v>31.8</v>
      </c>
      <c r="M59" s="2">
        <f t="shared" si="4"/>
        <v>0.07990974899</v>
      </c>
    </row>
    <row r="60" ht="15.75" customHeight="1">
      <c r="A60" s="3">
        <v>44934.0</v>
      </c>
      <c r="B60" s="2" t="s">
        <v>20</v>
      </c>
      <c r="C60" s="2" t="s">
        <v>21</v>
      </c>
      <c r="D60" s="2" t="s">
        <v>13</v>
      </c>
      <c r="E60" s="2">
        <v>3555.0</v>
      </c>
      <c r="F60" s="2">
        <v>71.10000000000001</v>
      </c>
      <c r="G60" s="2">
        <v>118.73700000000001</v>
      </c>
      <c r="H60" s="2">
        <v>12.0</v>
      </c>
      <c r="I60" s="2">
        <v>4301.0</v>
      </c>
      <c r="J60" s="2">
        <f t="shared" si="1"/>
        <v>1.67</v>
      </c>
      <c r="K60" s="2">
        <f t="shared" si="2"/>
        <v>1.67</v>
      </c>
      <c r="L60" s="2">
        <f t="shared" si="3"/>
        <v>33.4</v>
      </c>
      <c r="M60" s="2">
        <f t="shared" si="4"/>
        <v>0.1687763713</v>
      </c>
    </row>
    <row r="61" ht="15.75" customHeight="1">
      <c r="A61" s="3">
        <v>44934.0</v>
      </c>
      <c r="B61" s="2" t="s">
        <v>20</v>
      </c>
      <c r="C61" s="2" t="s">
        <v>23</v>
      </c>
      <c r="D61" s="2" t="s">
        <v>19</v>
      </c>
      <c r="E61" s="2">
        <v>2525.0</v>
      </c>
      <c r="F61" s="2">
        <v>176.75000000000003</v>
      </c>
      <c r="G61" s="2">
        <v>226.24000000000004</v>
      </c>
      <c r="H61" s="2">
        <v>12.0</v>
      </c>
      <c r="I61" s="2">
        <v>2022.0</v>
      </c>
      <c r="J61" s="2">
        <f t="shared" si="1"/>
        <v>1.28</v>
      </c>
      <c r="K61" s="2">
        <f t="shared" si="2"/>
        <v>1.28</v>
      </c>
      <c r="L61" s="2">
        <f t="shared" si="3"/>
        <v>89.6</v>
      </c>
      <c r="M61" s="2">
        <f t="shared" si="4"/>
        <v>0.06789250354</v>
      </c>
    </row>
    <row r="62" ht="15.75" customHeight="1">
      <c r="A62" s="3">
        <v>44934.0</v>
      </c>
      <c r="B62" s="2" t="s">
        <v>26</v>
      </c>
      <c r="C62" s="2" t="s">
        <v>27</v>
      </c>
      <c r="D62" s="2" t="s">
        <v>30</v>
      </c>
      <c r="E62" s="2">
        <v>10221.0</v>
      </c>
      <c r="F62" s="2">
        <v>306.63</v>
      </c>
      <c r="G62" s="2">
        <v>364.8897</v>
      </c>
      <c r="H62" s="2">
        <v>21.0</v>
      </c>
      <c r="I62" s="2">
        <v>3983.0</v>
      </c>
      <c r="J62" s="2">
        <f t="shared" si="1"/>
        <v>1.19</v>
      </c>
      <c r="K62" s="2">
        <f t="shared" si="2"/>
        <v>1.19</v>
      </c>
      <c r="L62" s="2">
        <f t="shared" si="3"/>
        <v>35.7</v>
      </c>
      <c r="M62" s="2">
        <f t="shared" si="4"/>
        <v>0.06848644947</v>
      </c>
    </row>
    <row r="63" ht="15.75" customHeight="1">
      <c r="A63" s="3">
        <v>44934.0</v>
      </c>
      <c r="B63" s="2" t="s">
        <v>26</v>
      </c>
      <c r="C63" s="2" t="s">
        <v>31</v>
      </c>
      <c r="D63" s="2" t="s">
        <v>24</v>
      </c>
      <c r="E63" s="2">
        <v>8118.0</v>
      </c>
      <c r="F63" s="2">
        <v>649.44</v>
      </c>
      <c r="G63" s="2">
        <v>1123.5312000000001</v>
      </c>
      <c r="H63" s="2">
        <v>84.0</v>
      </c>
      <c r="I63" s="2">
        <v>342.0</v>
      </c>
      <c r="J63" s="2">
        <f t="shared" si="1"/>
        <v>1.73</v>
      </c>
      <c r="K63" s="2">
        <f t="shared" si="2"/>
        <v>1.73</v>
      </c>
      <c r="L63" s="2">
        <f t="shared" si="3"/>
        <v>138.4</v>
      </c>
      <c r="M63" s="2">
        <f t="shared" si="4"/>
        <v>0.1293422025</v>
      </c>
    </row>
    <row r="64" ht="15.75" customHeight="1">
      <c r="A64" s="3">
        <v>44934.0</v>
      </c>
      <c r="B64" s="2" t="s">
        <v>33</v>
      </c>
      <c r="C64" s="2" t="s">
        <v>34</v>
      </c>
      <c r="D64" s="2" t="s">
        <v>18</v>
      </c>
      <c r="E64" s="2">
        <v>2088.0</v>
      </c>
      <c r="F64" s="2">
        <v>104.4</v>
      </c>
      <c r="G64" s="2">
        <v>0.0</v>
      </c>
      <c r="H64" s="2">
        <v>5.0</v>
      </c>
      <c r="I64" s="2">
        <v>845.0</v>
      </c>
      <c r="J64" s="2">
        <f t="shared" si="1"/>
        <v>0</v>
      </c>
      <c r="K64" s="2">
        <f t="shared" si="2"/>
        <v>0</v>
      </c>
      <c r="L64" s="2">
        <f t="shared" si="3"/>
        <v>0</v>
      </c>
      <c r="M64" s="2">
        <f t="shared" si="4"/>
        <v>0.04789272031</v>
      </c>
    </row>
    <row r="65" ht="15.75" customHeight="1">
      <c r="A65" s="3">
        <v>44934.0</v>
      </c>
      <c r="B65" s="2" t="s">
        <v>33</v>
      </c>
      <c r="C65" s="2" t="s">
        <v>35</v>
      </c>
      <c r="D65" s="2" t="s">
        <v>24</v>
      </c>
      <c r="E65" s="2">
        <v>4157.0</v>
      </c>
      <c r="F65" s="2">
        <v>415.70000000000005</v>
      </c>
      <c r="G65" s="2">
        <v>0.0</v>
      </c>
      <c r="H65" s="2">
        <v>71.0</v>
      </c>
      <c r="I65" s="2">
        <v>747.0</v>
      </c>
      <c r="J65" s="2">
        <f t="shared" si="1"/>
        <v>0</v>
      </c>
      <c r="K65" s="2">
        <f t="shared" si="2"/>
        <v>0</v>
      </c>
      <c r="L65" s="2">
        <f t="shared" si="3"/>
        <v>0</v>
      </c>
      <c r="M65" s="2">
        <f t="shared" si="4"/>
        <v>0.1707962473</v>
      </c>
    </row>
    <row r="66" ht="15.75" customHeight="1">
      <c r="A66" s="3">
        <v>44935.0</v>
      </c>
      <c r="B66" s="2" t="s">
        <v>14</v>
      </c>
      <c r="C66" s="2" t="s">
        <v>15</v>
      </c>
      <c r="D66" s="2" t="s">
        <v>28</v>
      </c>
      <c r="E66" s="2">
        <v>6693.0</v>
      </c>
      <c r="F66" s="2">
        <v>267.72</v>
      </c>
      <c r="G66" s="2">
        <v>353.39040000000006</v>
      </c>
      <c r="H66" s="2">
        <v>16.0</v>
      </c>
      <c r="I66" s="2">
        <v>4522.0</v>
      </c>
      <c r="J66" s="2">
        <f t="shared" si="1"/>
        <v>1.32</v>
      </c>
      <c r="K66" s="2">
        <f t="shared" si="2"/>
        <v>1.32</v>
      </c>
      <c r="L66" s="2">
        <f t="shared" si="3"/>
        <v>52.8</v>
      </c>
      <c r="M66" s="2">
        <f t="shared" si="4"/>
        <v>0.05976393247</v>
      </c>
    </row>
    <row r="67" ht="15.75" customHeight="1">
      <c r="A67" s="3">
        <v>44935.0</v>
      </c>
      <c r="B67" s="2" t="s">
        <v>14</v>
      </c>
      <c r="C67" s="2" t="s">
        <v>17</v>
      </c>
      <c r="D67" s="2" t="s">
        <v>22</v>
      </c>
      <c r="E67" s="2">
        <v>9786.0</v>
      </c>
      <c r="F67" s="2">
        <v>195.72</v>
      </c>
      <c r="G67" s="2">
        <v>66.54480000000001</v>
      </c>
      <c r="H67" s="2">
        <v>33.0</v>
      </c>
      <c r="I67" s="2">
        <v>3652.0</v>
      </c>
      <c r="J67" s="2">
        <f t="shared" si="1"/>
        <v>0.34</v>
      </c>
      <c r="K67" s="2">
        <f t="shared" si="2"/>
        <v>0.34</v>
      </c>
      <c r="L67" s="2">
        <f t="shared" si="3"/>
        <v>6.8</v>
      </c>
      <c r="M67" s="2">
        <f t="shared" si="4"/>
        <v>0.1686082158</v>
      </c>
    </row>
    <row r="68" ht="15.75" customHeight="1">
      <c r="A68" s="3">
        <v>44935.0</v>
      </c>
      <c r="B68" s="2" t="s">
        <v>20</v>
      </c>
      <c r="C68" s="2" t="s">
        <v>21</v>
      </c>
      <c r="D68" s="2" t="s">
        <v>18</v>
      </c>
      <c r="E68" s="2">
        <v>2646.0</v>
      </c>
      <c r="F68" s="2">
        <v>185.22000000000003</v>
      </c>
      <c r="G68" s="2">
        <v>68.5314</v>
      </c>
      <c r="H68" s="2">
        <v>11.0</v>
      </c>
      <c r="I68" s="2">
        <v>1162.0</v>
      </c>
      <c r="J68" s="2">
        <f t="shared" si="1"/>
        <v>0.37</v>
      </c>
      <c r="K68" s="2">
        <f t="shared" si="2"/>
        <v>0.37</v>
      </c>
      <c r="L68" s="2">
        <f t="shared" si="3"/>
        <v>25.9</v>
      </c>
      <c r="M68" s="2">
        <f t="shared" si="4"/>
        <v>0.0593888349</v>
      </c>
    </row>
    <row r="69" ht="15.75" customHeight="1">
      <c r="A69" s="3">
        <v>44935.0</v>
      </c>
      <c r="B69" s="2" t="s">
        <v>20</v>
      </c>
      <c r="C69" s="2" t="s">
        <v>23</v>
      </c>
      <c r="D69" s="2" t="s">
        <v>24</v>
      </c>
      <c r="E69" s="2">
        <v>5654.0</v>
      </c>
      <c r="F69" s="2">
        <v>452.32</v>
      </c>
      <c r="G69" s="2">
        <v>144.7424</v>
      </c>
      <c r="H69" s="2">
        <v>32.0</v>
      </c>
      <c r="I69" s="2">
        <v>1330.0</v>
      </c>
      <c r="J69" s="2">
        <f t="shared" si="1"/>
        <v>0.32</v>
      </c>
      <c r="K69" s="2">
        <f t="shared" si="2"/>
        <v>0.32</v>
      </c>
      <c r="L69" s="2">
        <f t="shared" si="3"/>
        <v>25.6</v>
      </c>
      <c r="M69" s="2">
        <f t="shared" si="4"/>
        <v>0.07074637425</v>
      </c>
    </row>
    <row r="70" ht="15.75" customHeight="1">
      <c r="A70" s="3">
        <v>44935.0</v>
      </c>
      <c r="B70" s="2" t="s">
        <v>26</v>
      </c>
      <c r="C70" s="2" t="s">
        <v>27</v>
      </c>
      <c r="D70" s="2" t="s">
        <v>24</v>
      </c>
      <c r="E70" s="2">
        <v>14591.0</v>
      </c>
      <c r="F70" s="2">
        <v>1021.3700000000001</v>
      </c>
      <c r="G70" s="2">
        <v>1399.2769000000003</v>
      </c>
      <c r="H70" s="2">
        <v>163.0</v>
      </c>
      <c r="I70" s="2">
        <v>311.0</v>
      </c>
      <c r="J70" s="2">
        <f t="shared" si="1"/>
        <v>1.37</v>
      </c>
      <c r="K70" s="2">
        <f t="shared" si="2"/>
        <v>1.37</v>
      </c>
      <c r="L70" s="2">
        <f t="shared" si="3"/>
        <v>95.9</v>
      </c>
      <c r="M70" s="2">
        <f t="shared" si="4"/>
        <v>0.1595895709</v>
      </c>
    </row>
    <row r="71" ht="15.75" customHeight="1">
      <c r="A71" s="3">
        <v>44935.0</v>
      </c>
      <c r="B71" s="2" t="s">
        <v>26</v>
      </c>
      <c r="C71" s="2" t="s">
        <v>31</v>
      </c>
      <c r="D71" s="2" t="s">
        <v>18</v>
      </c>
      <c r="E71" s="2">
        <v>11726.0</v>
      </c>
      <c r="F71" s="2">
        <v>469.04</v>
      </c>
      <c r="G71" s="2">
        <v>356.47040000000004</v>
      </c>
      <c r="H71" s="2">
        <v>28.0</v>
      </c>
      <c r="I71" s="2">
        <v>4238.0</v>
      </c>
      <c r="J71" s="2">
        <f t="shared" si="1"/>
        <v>0.76</v>
      </c>
      <c r="K71" s="2">
        <f t="shared" si="2"/>
        <v>0.76</v>
      </c>
      <c r="L71" s="2">
        <f t="shared" si="3"/>
        <v>30.4</v>
      </c>
      <c r="M71" s="2">
        <f t="shared" si="4"/>
        <v>0.05969640116</v>
      </c>
    </row>
    <row r="72" ht="15.75" customHeight="1">
      <c r="A72" s="3">
        <v>44935.0</v>
      </c>
      <c r="B72" s="2" t="s">
        <v>33</v>
      </c>
      <c r="C72" s="2" t="s">
        <v>34</v>
      </c>
      <c r="D72" s="2" t="s">
        <v>19</v>
      </c>
      <c r="E72" s="2">
        <v>5154.0</v>
      </c>
      <c r="F72" s="2">
        <v>360.78000000000003</v>
      </c>
      <c r="G72" s="2">
        <v>0.0</v>
      </c>
      <c r="H72" s="2">
        <v>43.0</v>
      </c>
      <c r="I72" s="2">
        <v>4546.0</v>
      </c>
      <c r="J72" s="2">
        <f t="shared" si="1"/>
        <v>0</v>
      </c>
      <c r="K72" s="2">
        <f t="shared" si="2"/>
        <v>0</v>
      </c>
      <c r="L72" s="2">
        <f t="shared" si="3"/>
        <v>0</v>
      </c>
      <c r="M72" s="2">
        <f t="shared" si="4"/>
        <v>0.1191862077</v>
      </c>
    </row>
    <row r="73" ht="15.75" customHeight="1">
      <c r="A73" s="3">
        <v>44935.0</v>
      </c>
      <c r="B73" s="2" t="s">
        <v>33</v>
      </c>
      <c r="C73" s="2" t="s">
        <v>35</v>
      </c>
      <c r="D73" s="2" t="s">
        <v>24</v>
      </c>
      <c r="E73" s="2">
        <v>4130.0</v>
      </c>
      <c r="F73" s="2">
        <v>247.79999999999998</v>
      </c>
      <c r="G73" s="2">
        <v>0.0</v>
      </c>
      <c r="H73" s="2">
        <v>37.0</v>
      </c>
      <c r="I73" s="2">
        <v>3207.0</v>
      </c>
      <c r="J73" s="2">
        <f t="shared" si="1"/>
        <v>0</v>
      </c>
      <c r="K73" s="2">
        <f t="shared" si="2"/>
        <v>0</v>
      </c>
      <c r="L73" s="2">
        <f t="shared" si="3"/>
        <v>0</v>
      </c>
      <c r="M73" s="2">
        <f t="shared" si="4"/>
        <v>0.1493139629</v>
      </c>
    </row>
    <row r="74" ht="15.75" customHeight="1">
      <c r="A74" s="3">
        <v>44936.0</v>
      </c>
      <c r="B74" s="2" t="s">
        <v>14</v>
      </c>
      <c r="C74" s="2" t="s">
        <v>15</v>
      </c>
      <c r="D74" s="2" t="s">
        <v>16</v>
      </c>
      <c r="E74" s="2">
        <v>10369.0</v>
      </c>
      <c r="F74" s="2">
        <v>622.14</v>
      </c>
      <c r="G74" s="2">
        <v>628.3614</v>
      </c>
      <c r="H74" s="2">
        <v>100.0</v>
      </c>
      <c r="I74" s="2">
        <v>2973.0</v>
      </c>
      <c r="J74" s="2">
        <f t="shared" si="1"/>
        <v>1.01</v>
      </c>
      <c r="K74" s="2">
        <f t="shared" si="2"/>
        <v>1.01</v>
      </c>
      <c r="L74" s="2">
        <f t="shared" si="3"/>
        <v>60.6</v>
      </c>
      <c r="M74" s="2">
        <f t="shared" si="4"/>
        <v>0.1607355258</v>
      </c>
    </row>
    <row r="75" ht="15.75" customHeight="1">
      <c r="A75" s="3">
        <v>44936.0</v>
      </c>
      <c r="B75" s="2" t="s">
        <v>14</v>
      </c>
      <c r="C75" s="2" t="s">
        <v>17</v>
      </c>
      <c r="D75" s="2" t="s">
        <v>28</v>
      </c>
      <c r="E75" s="2">
        <v>7912.0</v>
      </c>
      <c r="F75" s="2">
        <v>712.0799999999999</v>
      </c>
      <c r="G75" s="2">
        <v>669.3551999999999</v>
      </c>
      <c r="H75" s="2">
        <v>78.0</v>
      </c>
      <c r="I75" s="2">
        <v>3046.0</v>
      </c>
      <c r="J75" s="2">
        <f t="shared" si="1"/>
        <v>0.94</v>
      </c>
      <c r="K75" s="2">
        <f t="shared" si="2"/>
        <v>0.94</v>
      </c>
      <c r="L75" s="2">
        <f t="shared" si="3"/>
        <v>84.6</v>
      </c>
      <c r="M75" s="2">
        <f t="shared" si="4"/>
        <v>0.1095382541</v>
      </c>
    </row>
    <row r="76" ht="15.75" customHeight="1">
      <c r="A76" s="3">
        <v>44936.0</v>
      </c>
      <c r="B76" s="2" t="s">
        <v>20</v>
      </c>
      <c r="C76" s="2" t="s">
        <v>21</v>
      </c>
      <c r="D76" s="2" t="s">
        <v>13</v>
      </c>
      <c r="E76" s="2">
        <v>2585.0</v>
      </c>
      <c r="F76" s="2">
        <v>180.95000000000002</v>
      </c>
      <c r="G76" s="2">
        <v>240.66350000000003</v>
      </c>
      <c r="H76" s="2">
        <v>18.0</v>
      </c>
      <c r="I76" s="2">
        <v>3855.0</v>
      </c>
      <c r="J76" s="2">
        <f t="shared" si="1"/>
        <v>1.33</v>
      </c>
      <c r="K76" s="2">
        <f t="shared" si="2"/>
        <v>1.33</v>
      </c>
      <c r="L76" s="2">
        <f t="shared" si="3"/>
        <v>93.1</v>
      </c>
      <c r="M76" s="2">
        <f t="shared" si="4"/>
        <v>0.09947499309</v>
      </c>
    </row>
    <row r="77" ht="15.75" customHeight="1">
      <c r="A77" s="3">
        <v>44936.0</v>
      </c>
      <c r="B77" s="2" t="s">
        <v>20</v>
      </c>
      <c r="C77" s="2" t="s">
        <v>23</v>
      </c>
      <c r="D77" s="2" t="s">
        <v>13</v>
      </c>
      <c r="E77" s="2">
        <v>4297.0</v>
      </c>
      <c r="F77" s="2">
        <v>343.76</v>
      </c>
      <c r="G77" s="2">
        <v>642.8312</v>
      </c>
      <c r="H77" s="2">
        <v>55.0</v>
      </c>
      <c r="I77" s="2">
        <v>676.0</v>
      </c>
      <c r="J77" s="2">
        <f t="shared" si="1"/>
        <v>1.87</v>
      </c>
      <c r="K77" s="2">
        <f t="shared" si="2"/>
        <v>1.87</v>
      </c>
      <c r="L77" s="2">
        <f t="shared" si="3"/>
        <v>149.6</v>
      </c>
      <c r="M77" s="2">
        <f t="shared" si="4"/>
        <v>0.1599953456</v>
      </c>
    </row>
    <row r="78" ht="15.75" customHeight="1">
      <c r="A78" s="3">
        <v>44936.0</v>
      </c>
      <c r="B78" s="2" t="s">
        <v>26</v>
      </c>
      <c r="C78" s="2" t="s">
        <v>27</v>
      </c>
      <c r="D78" s="2" t="s">
        <v>22</v>
      </c>
      <c r="E78" s="2">
        <v>11003.0</v>
      </c>
      <c r="F78" s="2">
        <v>550.15</v>
      </c>
      <c r="G78" s="2">
        <v>874.7385</v>
      </c>
      <c r="H78" s="2">
        <v>72.0</v>
      </c>
      <c r="I78" s="2">
        <v>3308.0</v>
      </c>
      <c r="J78" s="2">
        <f t="shared" si="1"/>
        <v>1.59</v>
      </c>
      <c r="K78" s="2">
        <f t="shared" si="2"/>
        <v>1.59</v>
      </c>
      <c r="L78" s="2">
        <f t="shared" si="3"/>
        <v>79.5</v>
      </c>
      <c r="M78" s="2">
        <f t="shared" si="4"/>
        <v>0.1308733982</v>
      </c>
    </row>
    <row r="79" ht="15.75" customHeight="1">
      <c r="A79" s="3">
        <v>44936.0</v>
      </c>
      <c r="B79" s="2" t="s">
        <v>26</v>
      </c>
      <c r="C79" s="2" t="s">
        <v>31</v>
      </c>
      <c r="D79" s="2" t="s">
        <v>19</v>
      </c>
      <c r="E79" s="2">
        <v>14726.0</v>
      </c>
      <c r="F79" s="2">
        <v>1472.6000000000001</v>
      </c>
      <c r="G79" s="2">
        <v>2238.3520000000003</v>
      </c>
      <c r="H79" s="2">
        <v>177.0</v>
      </c>
      <c r="I79" s="2">
        <v>2633.0</v>
      </c>
      <c r="J79" s="2">
        <f t="shared" si="1"/>
        <v>1.52</v>
      </c>
      <c r="K79" s="2">
        <f t="shared" si="2"/>
        <v>1.52</v>
      </c>
      <c r="L79" s="2">
        <f t="shared" si="3"/>
        <v>152</v>
      </c>
      <c r="M79" s="2">
        <f t="shared" si="4"/>
        <v>0.1201955725</v>
      </c>
    </row>
    <row r="80" ht="15.75" customHeight="1">
      <c r="A80" s="3">
        <v>44936.0</v>
      </c>
      <c r="B80" s="2" t="s">
        <v>33</v>
      </c>
      <c r="C80" s="2" t="s">
        <v>34</v>
      </c>
      <c r="D80" s="2" t="s">
        <v>25</v>
      </c>
      <c r="E80" s="2">
        <v>3500.0</v>
      </c>
      <c r="F80" s="2">
        <v>140.0</v>
      </c>
      <c r="G80" s="2">
        <v>0.0</v>
      </c>
      <c r="H80" s="2">
        <v>18.0</v>
      </c>
      <c r="I80" s="2">
        <v>1290.0</v>
      </c>
      <c r="J80" s="2">
        <f t="shared" si="1"/>
        <v>0</v>
      </c>
      <c r="K80" s="2">
        <f t="shared" si="2"/>
        <v>0</v>
      </c>
      <c r="L80" s="2">
        <f t="shared" si="3"/>
        <v>0</v>
      </c>
      <c r="M80" s="2">
        <f t="shared" si="4"/>
        <v>0.1285714286</v>
      </c>
    </row>
    <row r="81" ht="15.75" customHeight="1">
      <c r="A81" s="3">
        <v>44936.0</v>
      </c>
      <c r="B81" s="2" t="s">
        <v>33</v>
      </c>
      <c r="C81" s="2" t="s">
        <v>35</v>
      </c>
      <c r="D81" s="2" t="s">
        <v>13</v>
      </c>
      <c r="E81" s="2">
        <v>5632.0</v>
      </c>
      <c r="F81" s="2">
        <v>168.95999999999998</v>
      </c>
      <c r="G81" s="2">
        <v>0.0</v>
      </c>
      <c r="H81" s="2">
        <v>22.0</v>
      </c>
      <c r="I81" s="2">
        <v>4335.0</v>
      </c>
      <c r="J81" s="2">
        <f t="shared" si="1"/>
        <v>0</v>
      </c>
      <c r="K81" s="2">
        <f t="shared" si="2"/>
        <v>0</v>
      </c>
      <c r="L81" s="2">
        <f t="shared" si="3"/>
        <v>0</v>
      </c>
      <c r="M81" s="2">
        <f t="shared" si="4"/>
        <v>0.1302083333</v>
      </c>
    </row>
    <row r="82" ht="15.75" customHeight="1">
      <c r="A82" s="3">
        <v>44937.0</v>
      </c>
      <c r="B82" s="2" t="s">
        <v>14</v>
      </c>
      <c r="C82" s="2" t="s">
        <v>15</v>
      </c>
      <c r="D82" s="2" t="s">
        <v>32</v>
      </c>
      <c r="E82" s="2">
        <v>7662.0</v>
      </c>
      <c r="F82" s="2">
        <v>383.1</v>
      </c>
      <c r="G82" s="2">
        <v>287.32500000000005</v>
      </c>
      <c r="H82" s="2">
        <v>57.0</v>
      </c>
      <c r="I82" s="2">
        <v>4462.0</v>
      </c>
      <c r="J82" s="2">
        <f t="shared" si="1"/>
        <v>0.75</v>
      </c>
      <c r="K82" s="2">
        <f t="shared" si="2"/>
        <v>0.75</v>
      </c>
      <c r="L82" s="2">
        <f t="shared" si="3"/>
        <v>37.5</v>
      </c>
      <c r="M82" s="2">
        <f t="shared" si="4"/>
        <v>0.1487862177</v>
      </c>
    </row>
    <row r="83" ht="15.75" customHeight="1">
      <c r="A83" s="3">
        <v>44937.0</v>
      </c>
      <c r="B83" s="2" t="s">
        <v>14</v>
      </c>
      <c r="C83" s="2" t="s">
        <v>17</v>
      </c>
      <c r="D83" s="2" t="s">
        <v>24</v>
      </c>
      <c r="E83" s="2">
        <v>7752.0</v>
      </c>
      <c r="F83" s="2">
        <v>155.04</v>
      </c>
      <c r="G83" s="2">
        <v>288.3744</v>
      </c>
      <c r="H83" s="2">
        <v>22.0</v>
      </c>
      <c r="I83" s="2">
        <v>1357.0</v>
      </c>
      <c r="J83" s="2">
        <f t="shared" si="1"/>
        <v>1.86</v>
      </c>
      <c r="K83" s="2">
        <f t="shared" si="2"/>
        <v>1.86</v>
      </c>
      <c r="L83" s="2">
        <f t="shared" si="3"/>
        <v>37.2</v>
      </c>
      <c r="M83" s="2">
        <f t="shared" si="4"/>
        <v>0.1418988648</v>
      </c>
    </row>
    <row r="84" ht="15.75" customHeight="1">
      <c r="A84" s="3">
        <v>44937.0</v>
      </c>
      <c r="B84" s="2" t="s">
        <v>20</v>
      </c>
      <c r="C84" s="2" t="s">
        <v>21</v>
      </c>
      <c r="D84" s="2" t="s">
        <v>32</v>
      </c>
      <c r="E84" s="2">
        <v>4357.0</v>
      </c>
      <c r="F84" s="2">
        <v>348.56</v>
      </c>
      <c r="G84" s="2">
        <v>589.0663999999999</v>
      </c>
      <c r="H84" s="2">
        <v>70.0</v>
      </c>
      <c r="I84" s="2">
        <v>3457.0</v>
      </c>
      <c r="J84" s="2">
        <f t="shared" si="1"/>
        <v>1.69</v>
      </c>
      <c r="K84" s="2">
        <f t="shared" si="2"/>
        <v>1.69</v>
      </c>
      <c r="L84" s="2">
        <f t="shared" si="3"/>
        <v>135.2</v>
      </c>
      <c r="M84" s="2">
        <f t="shared" si="4"/>
        <v>0.2008262566</v>
      </c>
    </row>
    <row r="85" ht="15.75" customHeight="1">
      <c r="A85" s="3">
        <v>44937.0</v>
      </c>
      <c r="B85" s="2" t="s">
        <v>20</v>
      </c>
      <c r="C85" s="2" t="s">
        <v>23</v>
      </c>
      <c r="D85" s="2" t="s">
        <v>19</v>
      </c>
      <c r="E85" s="2">
        <v>2726.0</v>
      </c>
      <c r="F85" s="2">
        <v>272.6</v>
      </c>
      <c r="G85" s="2">
        <v>346.20200000000006</v>
      </c>
      <c r="H85" s="2">
        <v>55.0</v>
      </c>
      <c r="I85" s="2">
        <v>1689.0</v>
      </c>
      <c r="J85" s="2">
        <f t="shared" si="1"/>
        <v>1.27</v>
      </c>
      <c r="K85" s="2">
        <f t="shared" si="2"/>
        <v>1.27</v>
      </c>
      <c r="L85" s="2">
        <f t="shared" si="3"/>
        <v>127</v>
      </c>
      <c r="M85" s="2">
        <f t="shared" si="4"/>
        <v>0.2017608217</v>
      </c>
    </row>
    <row r="86" ht="15.75" customHeight="1">
      <c r="A86" s="3">
        <v>44937.0</v>
      </c>
      <c r="B86" s="2" t="s">
        <v>26</v>
      </c>
      <c r="C86" s="2" t="s">
        <v>27</v>
      </c>
      <c r="D86" s="2" t="s">
        <v>18</v>
      </c>
      <c r="E86" s="2">
        <v>12997.0</v>
      </c>
      <c r="F86" s="2">
        <v>389.90999999999997</v>
      </c>
      <c r="G86" s="2">
        <v>191.05589999999998</v>
      </c>
      <c r="H86" s="2">
        <v>58.0</v>
      </c>
      <c r="I86" s="2">
        <v>1203.0</v>
      </c>
      <c r="J86" s="2">
        <f t="shared" si="1"/>
        <v>0.49</v>
      </c>
      <c r="K86" s="2">
        <f t="shared" si="2"/>
        <v>0.49</v>
      </c>
      <c r="L86" s="2">
        <f t="shared" si="3"/>
        <v>14.7</v>
      </c>
      <c r="M86" s="2">
        <f t="shared" si="4"/>
        <v>0.1487522762</v>
      </c>
    </row>
    <row r="87" ht="15.75" customHeight="1">
      <c r="A87" s="3">
        <v>44937.0</v>
      </c>
      <c r="B87" s="2" t="s">
        <v>26</v>
      </c>
      <c r="C87" s="2" t="s">
        <v>31</v>
      </c>
      <c r="D87" s="2" t="s">
        <v>32</v>
      </c>
      <c r="E87" s="2">
        <v>10625.0</v>
      </c>
      <c r="F87" s="2">
        <v>318.75</v>
      </c>
      <c r="G87" s="2">
        <v>111.5625</v>
      </c>
      <c r="H87" s="2">
        <v>51.0</v>
      </c>
      <c r="I87" s="2">
        <v>3470.0</v>
      </c>
      <c r="J87" s="2">
        <f t="shared" si="1"/>
        <v>0.35</v>
      </c>
      <c r="K87" s="2">
        <f t="shared" si="2"/>
        <v>0.35</v>
      </c>
      <c r="L87" s="2">
        <f t="shared" si="3"/>
        <v>10.5</v>
      </c>
      <c r="M87" s="2">
        <f t="shared" si="4"/>
        <v>0.16</v>
      </c>
    </row>
    <row r="88" ht="15.75" customHeight="1">
      <c r="A88" s="3">
        <v>44937.0</v>
      </c>
      <c r="B88" s="2" t="s">
        <v>33</v>
      </c>
      <c r="C88" s="2" t="s">
        <v>34</v>
      </c>
      <c r="D88" s="2" t="s">
        <v>18</v>
      </c>
      <c r="E88" s="2">
        <v>3730.0</v>
      </c>
      <c r="F88" s="2">
        <v>186.5</v>
      </c>
      <c r="G88" s="2">
        <v>0.0</v>
      </c>
      <c r="H88" s="2">
        <v>13.0</v>
      </c>
      <c r="I88" s="2">
        <v>2163.0</v>
      </c>
      <c r="J88" s="2">
        <f t="shared" si="1"/>
        <v>0</v>
      </c>
      <c r="K88" s="2">
        <f t="shared" si="2"/>
        <v>0</v>
      </c>
      <c r="L88" s="2">
        <f t="shared" si="3"/>
        <v>0</v>
      </c>
      <c r="M88" s="2">
        <f t="shared" si="4"/>
        <v>0.06970509383</v>
      </c>
    </row>
    <row r="89" ht="15.75" customHeight="1">
      <c r="A89" s="3">
        <v>44937.0</v>
      </c>
      <c r="B89" s="2" t="s">
        <v>33</v>
      </c>
      <c r="C89" s="2" t="s">
        <v>35</v>
      </c>
      <c r="D89" s="2" t="s">
        <v>28</v>
      </c>
      <c r="E89" s="2">
        <v>5443.0</v>
      </c>
      <c r="F89" s="2">
        <v>272.15000000000003</v>
      </c>
      <c r="G89" s="2">
        <v>0.0</v>
      </c>
      <c r="H89" s="2">
        <v>22.0</v>
      </c>
      <c r="I89" s="2">
        <v>2015.0</v>
      </c>
      <c r="J89" s="2">
        <f t="shared" si="1"/>
        <v>0</v>
      </c>
      <c r="K89" s="2">
        <f t="shared" si="2"/>
        <v>0</v>
      </c>
      <c r="L89" s="2">
        <f t="shared" si="3"/>
        <v>0</v>
      </c>
      <c r="M89" s="2">
        <f t="shared" si="4"/>
        <v>0.08083777329</v>
      </c>
    </row>
    <row r="90" ht="15.75" customHeight="1">
      <c r="A90" s="3">
        <v>44938.0</v>
      </c>
      <c r="B90" s="2" t="s">
        <v>14</v>
      </c>
      <c r="C90" s="2" t="s">
        <v>15</v>
      </c>
      <c r="D90" s="2" t="s">
        <v>32</v>
      </c>
      <c r="E90" s="2">
        <v>10313.0</v>
      </c>
      <c r="F90" s="2">
        <v>515.65</v>
      </c>
      <c r="G90" s="2">
        <v>324.85949999999997</v>
      </c>
      <c r="H90" s="2">
        <v>52.0</v>
      </c>
      <c r="I90" s="2">
        <v>1992.0</v>
      </c>
      <c r="J90" s="2">
        <f t="shared" si="1"/>
        <v>0.63</v>
      </c>
      <c r="K90" s="2">
        <f t="shared" si="2"/>
        <v>0.63</v>
      </c>
      <c r="L90" s="2">
        <f t="shared" si="3"/>
        <v>31.5</v>
      </c>
      <c r="M90" s="2">
        <f t="shared" si="4"/>
        <v>0.1008435955</v>
      </c>
    </row>
    <row r="91" ht="15.75" customHeight="1">
      <c r="A91" s="3">
        <v>44938.0</v>
      </c>
      <c r="B91" s="2" t="s">
        <v>14</v>
      </c>
      <c r="C91" s="2" t="s">
        <v>17</v>
      </c>
      <c r="D91" s="2" t="s">
        <v>24</v>
      </c>
      <c r="E91" s="2">
        <v>5568.0</v>
      </c>
      <c r="F91" s="2">
        <v>556.8000000000001</v>
      </c>
      <c r="G91" s="2">
        <v>1091.3280000000002</v>
      </c>
      <c r="H91" s="2">
        <v>111.0</v>
      </c>
      <c r="I91" s="2">
        <v>4633.0</v>
      </c>
      <c r="J91" s="2">
        <f t="shared" si="1"/>
        <v>1.96</v>
      </c>
      <c r="K91" s="2">
        <f t="shared" si="2"/>
        <v>1.96</v>
      </c>
      <c r="L91" s="2">
        <f t="shared" si="3"/>
        <v>196</v>
      </c>
      <c r="M91" s="2">
        <f t="shared" si="4"/>
        <v>0.1993534483</v>
      </c>
    </row>
    <row r="92" ht="15.75" customHeight="1">
      <c r="A92" s="3">
        <v>44938.0</v>
      </c>
      <c r="B92" s="2" t="s">
        <v>20</v>
      </c>
      <c r="C92" s="2" t="s">
        <v>21</v>
      </c>
      <c r="D92" s="2" t="s">
        <v>19</v>
      </c>
      <c r="E92" s="2">
        <v>4911.0</v>
      </c>
      <c r="F92" s="2">
        <v>441.99</v>
      </c>
      <c r="G92" s="2">
        <v>800.0019000000001</v>
      </c>
      <c r="H92" s="2">
        <v>88.0</v>
      </c>
      <c r="I92" s="2">
        <v>4368.0</v>
      </c>
      <c r="J92" s="2">
        <f t="shared" si="1"/>
        <v>1.81</v>
      </c>
      <c r="K92" s="2">
        <f t="shared" si="2"/>
        <v>1.81</v>
      </c>
      <c r="L92" s="2">
        <f t="shared" si="3"/>
        <v>162.9</v>
      </c>
      <c r="M92" s="2">
        <f t="shared" si="4"/>
        <v>0.1990995271</v>
      </c>
    </row>
    <row r="93" ht="15.75" customHeight="1">
      <c r="A93" s="3">
        <v>44938.0</v>
      </c>
      <c r="B93" s="2" t="s">
        <v>20</v>
      </c>
      <c r="C93" s="2" t="s">
        <v>23</v>
      </c>
      <c r="D93" s="2" t="s">
        <v>13</v>
      </c>
      <c r="E93" s="2">
        <v>4548.0</v>
      </c>
      <c r="F93" s="2">
        <v>318.36</v>
      </c>
      <c r="G93" s="2">
        <v>467.98920000000004</v>
      </c>
      <c r="H93" s="2">
        <v>45.0</v>
      </c>
      <c r="I93" s="2">
        <v>2795.0</v>
      </c>
      <c r="J93" s="2">
        <f t="shared" si="1"/>
        <v>1.47</v>
      </c>
      <c r="K93" s="2">
        <f t="shared" si="2"/>
        <v>1.47</v>
      </c>
      <c r="L93" s="2">
        <f t="shared" si="3"/>
        <v>102.9</v>
      </c>
      <c r="M93" s="2">
        <f t="shared" si="4"/>
        <v>0.1413494158</v>
      </c>
    </row>
    <row r="94" ht="15.75" customHeight="1">
      <c r="A94" s="3">
        <v>44938.0</v>
      </c>
      <c r="B94" s="2" t="s">
        <v>26</v>
      </c>
      <c r="C94" s="2" t="s">
        <v>27</v>
      </c>
      <c r="D94" s="2" t="s">
        <v>18</v>
      </c>
      <c r="E94" s="2">
        <v>11537.0</v>
      </c>
      <c r="F94" s="2">
        <v>461.48</v>
      </c>
      <c r="G94" s="2">
        <v>503.01320000000004</v>
      </c>
      <c r="H94" s="2">
        <v>78.0</v>
      </c>
      <c r="I94" s="2">
        <v>1903.0</v>
      </c>
      <c r="J94" s="2">
        <f t="shared" si="1"/>
        <v>1.09</v>
      </c>
      <c r="K94" s="2">
        <f t="shared" si="2"/>
        <v>1.09</v>
      </c>
      <c r="L94" s="2">
        <f t="shared" si="3"/>
        <v>43.6</v>
      </c>
      <c r="M94" s="2">
        <f t="shared" si="4"/>
        <v>0.1690214094</v>
      </c>
    </row>
    <row r="95" ht="15.75" customHeight="1">
      <c r="A95" s="3">
        <v>44938.0</v>
      </c>
      <c r="B95" s="2" t="s">
        <v>26</v>
      </c>
      <c r="C95" s="2" t="s">
        <v>31</v>
      </c>
      <c r="D95" s="2" t="s">
        <v>13</v>
      </c>
      <c r="E95" s="2">
        <v>9813.0</v>
      </c>
      <c r="F95" s="2">
        <v>785.04</v>
      </c>
      <c r="G95" s="2">
        <v>1216.812</v>
      </c>
      <c r="H95" s="2">
        <v>63.0</v>
      </c>
      <c r="I95" s="2">
        <v>2865.0</v>
      </c>
      <c r="J95" s="2">
        <f t="shared" si="1"/>
        <v>1.55</v>
      </c>
      <c r="K95" s="2">
        <f t="shared" si="2"/>
        <v>1.55</v>
      </c>
      <c r="L95" s="2">
        <f t="shared" si="3"/>
        <v>124</v>
      </c>
      <c r="M95" s="2">
        <f t="shared" si="4"/>
        <v>0.08025068786</v>
      </c>
    </row>
    <row r="96" ht="15.75" customHeight="1">
      <c r="A96" s="3">
        <v>44938.0</v>
      </c>
      <c r="B96" s="2" t="s">
        <v>33</v>
      </c>
      <c r="C96" s="2" t="s">
        <v>34</v>
      </c>
      <c r="D96" s="2" t="s">
        <v>18</v>
      </c>
      <c r="E96" s="2">
        <v>2518.0</v>
      </c>
      <c r="F96" s="2">
        <v>176.26000000000002</v>
      </c>
      <c r="G96" s="2">
        <v>0.0</v>
      </c>
      <c r="H96" s="2">
        <v>21.0</v>
      </c>
      <c r="I96" s="2">
        <v>2352.0</v>
      </c>
      <c r="J96" s="2">
        <f t="shared" si="1"/>
        <v>0</v>
      </c>
      <c r="K96" s="2">
        <f t="shared" si="2"/>
        <v>0</v>
      </c>
      <c r="L96" s="2">
        <f t="shared" si="3"/>
        <v>0</v>
      </c>
      <c r="M96" s="2">
        <f t="shared" si="4"/>
        <v>0.1191421763</v>
      </c>
    </row>
    <row r="97" ht="15.75" customHeight="1">
      <c r="A97" s="3">
        <v>44938.0</v>
      </c>
      <c r="B97" s="2" t="s">
        <v>33</v>
      </c>
      <c r="C97" s="2" t="s">
        <v>35</v>
      </c>
      <c r="D97" s="2" t="s">
        <v>25</v>
      </c>
      <c r="E97" s="2">
        <v>4252.0</v>
      </c>
      <c r="F97" s="2">
        <v>127.56</v>
      </c>
      <c r="G97" s="2">
        <v>0.0</v>
      </c>
      <c r="H97" s="2">
        <v>8.0</v>
      </c>
      <c r="I97" s="2">
        <v>3444.0</v>
      </c>
      <c r="J97" s="2">
        <f t="shared" si="1"/>
        <v>0</v>
      </c>
      <c r="K97" s="2">
        <f t="shared" si="2"/>
        <v>0</v>
      </c>
      <c r="L97" s="2">
        <f t="shared" si="3"/>
        <v>0</v>
      </c>
      <c r="M97" s="2">
        <f t="shared" si="4"/>
        <v>0.06271558482</v>
      </c>
    </row>
    <row r="98" ht="15.75" customHeight="1">
      <c r="A98" s="3">
        <v>44939.0</v>
      </c>
      <c r="B98" s="2" t="s">
        <v>14</v>
      </c>
      <c r="C98" s="2" t="s">
        <v>15</v>
      </c>
      <c r="D98" s="2" t="s">
        <v>22</v>
      </c>
      <c r="E98" s="2">
        <v>6839.0</v>
      </c>
      <c r="F98" s="2">
        <v>615.51</v>
      </c>
      <c r="G98" s="2">
        <v>806.3181000000001</v>
      </c>
      <c r="H98" s="2">
        <v>105.0</v>
      </c>
      <c r="I98" s="2">
        <v>2406.0</v>
      </c>
      <c r="J98" s="2">
        <f t="shared" si="1"/>
        <v>1.31</v>
      </c>
      <c r="K98" s="2">
        <f t="shared" si="2"/>
        <v>1.31</v>
      </c>
      <c r="L98" s="2">
        <f t="shared" si="3"/>
        <v>117.9</v>
      </c>
      <c r="M98" s="2">
        <f t="shared" si="4"/>
        <v>0.1705902422</v>
      </c>
    </row>
    <row r="99" ht="15.75" customHeight="1">
      <c r="A99" s="3">
        <v>44939.0</v>
      </c>
      <c r="B99" s="2" t="s">
        <v>14</v>
      </c>
      <c r="C99" s="2" t="s">
        <v>17</v>
      </c>
      <c r="D99" s="2" t="s">
        <v>13</v>
      </c>
      <c r="E99" s="2">
        <v>6718.0</v>
      </c>
      <c r="F99" s="2">
        <v>604.62</v>
      </c>
      <c r="G99" s="2">
        <v>973.4382</v>
      </c>
      <c r="H99" s="2">
        <v>60.0</v>
      </c>
      <c r="I99" s="2">
        <v>442.0</v>
      </c>
      <c r="J99" s="2">
        <f t="shared" si="1"/>
        <v>1.61</v>
      </c>
      <c r="K99" s="2">
        <f t="shared" si="2"/>
        <v>1.61</v>
      </c>
      <c r="L99" s="2">
        <f t="shared" si="3"/>
        <v>144.9</v>
      </c>
      <c r="M99" s="2">
        <f t="shared" si="4"/>
        <v>0.0992358837</v>
      </c>
    </row>
    <row r="100" ht="15.75" customHeight="1">
      <c r="A100" s="3">
        <v>44939.0</v>
      </c>
      <c r="B100" s="2" t="s">
        <v>20</v>
      </c>
      <c r="C100" s="2" t="s">
        <v>21</v>
      </c>
      <c r="D100" s="2" t="s">
        <v>28</v>
      </c>
      <c r="E100" s="2">
        <v>3224.0</v>
      </c>
      <c r="F100" s="2">
        <v>225.68000000000004</v>
      </c>
      <c r="G100" s="2">
        <v>442.3328000000001</v>
      </c>
      <c r="H100" s="2">
        <v>29.0</v>
      </c>
      <c r="I100" s="2">
        <v>692.0</v>
      </c>
      <c r="J100" s="2">
        <f t="shared" si="1"/>
        <v>1.96</v>
      </c>
      <c r="K100" s="2">
        <f t="shared" si="2"/>
        <v>1.96</v>
      </c>
      <c r="L100" s="2">
        <f t="shared" si="3"/>
        <v>137.2</v>
      </c>
      <c r="M100" s="2">
        <f t="shared" si="4"/>
        <v>0.1285005317</v>
      </c>
    </row>
    <row r="101" ht="15.75" customHeight="1">
      <c r="A101" s="3">
        <v>44939.0</v>
      </c>
      <c r="B101" s="2" t="s">
        <v>20</v>
      </c>
      <c r="C101" s="2" t="s">
        <v>23</v>
      </c>
      <c r="D101" s="2" t="s">
        <v>22</v>
      </c>
      <c r="E101" s="2">
        <v>3153.0</v>
      </c>
      <c r="F101" s="2">
        <v>315.3</v>
      </c>
      <c r="G101" s="2">
        <v>261.699</v>
      </c>
      <c r="H101" s="2">
        <v>35.0</v>
      </c>
      <c r="I101" s="2">
        <v>1767.0</v>
      </c>
      <c r="J101" s="2">
        <f t="shared" si="1"/>
        <v>0.83</v>
      </c>
      <c r="K101" s="2">
        <f t="shared" si="2"/>
        <v>0.83</v>
      </c>
      <c r="L101" s="2">
        <f t="shared" si="3"/>
        <v>83</v>
      </c>
      <c r="M101" s="2">
        <f t="shared" si="4"/>
        <v>0.1110053917</v>
      </c>
    </row>
    <row r="102" ht="15.75" customHeight="1">
      <c r="A102" s="3">
        <v>44939.0</v>
      </c>
      <c r="B102" s="2" t="s">
        <v>26</v>
      </c>
      <c r="C102" s="2" t="s">
        <v>27</v>
      </c>
      <c r="D102" s="2" t="s">
        <v>22</v>
      </c>
      <c r="E102" s="2">
        <v>9301.0</v>
      </c>
      <c r="F102" s="2">
        <v>651.07</v>
      </c>
      <c r="G102" s="2">
        <v>1165.4153000000001</v>
      </c>
      <c r="H102" s="2">
        <v>39.0</v>
      </c>
      <c r="I102" s="2">
        <v>4001.0</v>
      </c>
      <c r="J102" s="2">
        <f t="shared" si="1"/>
        <v>1.79</v>
      </c>
      <c r="K102" s="2">
        <f t="shared" si="2"/>
        <v>1.79</v>
      </c>
      <c r="L102" s="2">
        <f t="shared" si="3"/>
        <v>125.3</v>
      </c>
      <c r="M102" s="2">
        <f t="shared" si="4"/>
        <v>0.05990139309</v>
      </c>
    </row>
    <row r="103" ht="15.75" customHeight="1">
      <c r="A103" s="3">
        <v>44939.0</v>
      </c>
      <c r="B103" s="2" t="s">
        <v>26</v>
      </c>
      <c r="C103" s="2" t="s">
        <v>31</v>
      </c>
      <c r="D103" s="2" t="s">
        <v>22</v>
      </c>
      <c r="E103" s="2">
        <v>11055.0</v>
      </c>
      <c r="F103" s="2">
        <v>1105.5</v>
      </c>
      <c r="G103" s="2">
        <v>2166.7799999999997</v>
      </c>
      <c r="H103" s="2">
        <v>199.0</v>
      </c>
      <c r="I103" s="2">
        <v>3732.0</v>
      </c>
      <c r="J103" s="2">
        <f t="shared" si="1"/>
        <v>1.96</v>
      </c>
      <c r="K103" s="2">
        <f t="shared" si="2"/>
        <v>1.96</v>
      </c>
      <c r="L103" s="2">
        <f t="shared" si="3"/>
        <v>196</v>
      </c>
      <c r="M103" s="2">
        <f t="shared" si="4"/>
        <v>0.1800090457</v>
      </c>
    </row>
    <row r="104" ht="15.75" customHeight="1">
      <c r="A104" s="3">
        <v>44939.0</v>
      </c>
      <c r="B104" s="2" t="s">
        <v>33</v>
      </c>
      <c r="C104" s="2" t="s">
        <v>34</v>
      </c>
      <c r="D104" s="2" t="s">
        <v>30</v>
      </c>
      <c r="E104" s="2">
        <v>4999.0</v>
      </c>
      <c r="F104" s="2">
        <v>149.97</v>
      </c>
      <c r="G104" s="2">
        <v>0.0</v>
      </c>
      <c r="H104" s="2">
        <v>12.0</v>
      </c>
      <c r="I104" s="2">
        <v>4199.0</v>
      </c>
      <c r="J104" s="2">
        <f t="shared" si="1"/>
        <v>0</v>
      </c>
      <c r="K104" s="2">
        <f t="shared" si="2"/>
        <v>0</v>
      </c>
      <c r="L104" s="2">
        <f t="shared" si="3"/>
        <v>0</v>
      </c>
      <c r="M104" s="2">
        <f t="shared" si="4"/>
        <v>0.0800160032</v>
      </c>
    </row>
    <row r="105" ht="15.75" customHeight="1">
      <c r="A105" s="3">
        <v>44939.0</v>
      </c>
      <c r="B105" s="2" t="s">
        <v>33</v>
      </c>
      <c r="C105" s="2" t="s">
        <v>35</v>
      </c>
      <c r="D105" s="2" t="s">
        <v>18</v>
      </c>
      <c r="E105" s="2">
        <v>4652.0</v>
      </c>
      <c r="F105" s="2">
        <v>186.08</v>
      </c>
      <c r="G105" s="2">
        <v>0.0</v>
      </c>
      <c r="H105" s="2">
        <v>35.0</v>
      </c>
      <c r="I105" s="2">
        <v>628.0</v>
      </c>
      <c r="J105" s="2">
        <f t="shared" si="1"/>
        <v>0</v>
      </c>
      <c r="K105" s="2">
        <f t="shared" si="2"/>
        <v>0</v>
      </c>
      <c r="L105" s="2">
        <f t="shared" si="3"/>
        <v>0</v>
      </c>
      <c r="M105" s="2">
        <f t="shared" si="4"/>
        <v>0.1880911436</v>
      </c>
    </row>
    <row r="106" ht="15.75" customHeight="1">
      <c r="A106" s="3">
        <v>44940.0</v>
      </c>
      <c r="B106" s="2" t="s">
        <v>14</v>
      </c>
      <c r="C106" s="2" t="s">
        <v>15</v>
      </c>
      <c r="D106" s="2" t="s">
        <v>19</v>
      </c>
      <c r="E106" s="2">
        <v>8729.0</v>
      </c>
      <c r="F106" s="2">
        <v>349.16</v>
      </c>
      <c r="G106" s="2">
        <v>684.3536</v>
      </c>
      <c r="H106" s="2">
        <v>17.0</v>
      </c>
      <c r="I106" s="2">
        <v>3266.0</v>
      </c>
      <c r="J106" s="2">
        <f t="shared" si="1"/>
        <v>1.96</v>
      </c>
      <c r="K106" s="2">
        <f t="shared" si="2"/>
        <v>1.96</v>
      </c>
      <c r="L106" s="2">
        <f t="shared" si="3"/>
        <v>78.4</v>
      </c>
      <c r="M106" s="2">
        <f t="shared" si="4"/>
        <v>0.04868828044</v>
      </c>
    </row>
    <row r="107" ht="15.75" customHeight="1">
      <c r="A107" s="3">
        <v>44940.0</v>
      </c>
      <c r="B107" s="2" t="s">
        <v>14</v>
      </c>
      <c r="C107" s="2" t="s">
        <v>17</v>
      </c>
      <c r="D107" s="2" t="s">
        <v>25</v>
      </c>
      <c r="E107" s="2">
        <v>8779.0</v>
      </c>
      <c r="F107" s="2">
        <v>438.95000000000005</v>
      </c>
      <c r="G107" s="2">
        <v>425.78150000000005</v>
      </c>
      <c r="H107" s="2">
        <v>83.0</v>
      </c>
      <c r="I107" s="2">
        <v>1209.0</v>
      </c>
      <c r="J107" s="2">
        <f t="shared" si="1"/>
        <v>0.97</v>
      </c>
      <c r="K107" s="2">
        <f t="shared" si="2"/>
        <v>0.97</v>
      </c>
      <c r="L107" s="2">
        <f t="shared" si="3"/>
        <v>48.5</v>
      </c>
      <c r="M107" s="2">
        <f t="shared" si="4"/>
        <v>0.1890875954</v>
      </c>
    </row>
    <row r="108" ht="15.75" customHeight="1">
      <c r="A108" s="3">
        <v>44940.0</v>
      </c>
      <c r="B108" s="2" t="s">
        <v>20</v>
      </c>
      <c r="C108" s="2" t="s">
        <v>21</v>
      </c>
      <c r="D108" s="2" t="s">
        <v>24</v>
      </c>
      <c r="E108" s="2">
        <v>4022.0</v>
      </c>
      <c r="F108" s="2">
        <v>402.20000000000005</v>
      </c>
      <c r="G108" s="2">
        <v>345.89200000000005</v>
      </c>
      <c r="H108" s="2">
        <v>36.0</v>
      </c>
      <c r="I108" s="2">
        <v>1787.0</v>
      </c>
      <c r="J108" s="2">
        <f t="shared" si="1"/>
        <v>0.86</v>
      </c>
      <c r="K108" s="2">
        <f t="shared" si="2"/>
        <v>0.86</v>
      </c>
      <c r="L108" s="2">
        <f t="shared" si="3"/>
        <v>86</v>
      </c>
      <c r="M108" s="2">
        <f t="shared" si="4"/>
        <v>0.08950770761</v>
      </c>
    </row>
    <row r="109" ht="15.75" customHeight="1">
      <c r="A109" s="3">
        <v>44940.0</v>
      </c>
      <c r="B109" s="2" t="s">
        <v>20</v>
      </c>
      <c r="C109" s="2" t="s">
        <v>23</v>
      </c>
      <c r="D109" s="2" t="s">
        <v>28</v>
      </c>
      <c r="E109" s="2">
        <v>5770.0</v>
      </c>
      <c r="F109" s="2">
        <v>346.2</v>
      </c>
      <c r="G109" s="2">
        <v>294.27</v>
      </c>
      <c r="H109" s="2">
        <v>17.0</v>
      </c>
      <c r="I109" s="2">
        <v>391.0</v>
      </c>
      <c r="J109" s="2">
        <f t="shared" si="1"/>
        <v>0.85</v>
      </c>
      <c r="K109" s="2">
        <f t="shared" si="2"/>
        <v>0.85</v>
      </c>
      <c r="L109" s="2">
        <f t="shared" si="3"/>
        <v>51</v>
      </c>
      <c r="M109" s="2">
        <f t="shared" si="4"/>
        <v>0.04910456384</v>
      </c>
    </row>
    <row r="110" ht="15.75" customHeight="1">
      <c r="A110" s="3">
        <v>44940.0</v>
      </c>
      <c r="B110" s="2" t="s">
        <v>26</v>
      </c>
      <c r="C110" s="2" t="s">
        <v>27</v>
      </c>
      <c r="D110" s="2" t="s">
        <v>18</v>
      </c>
      <c r="E110" s="2">
        <v>13705.0</v>
      </c>
      <c r="F110" s="2">
        <v>959.3500000000001</v>
      </c>
      <c r="G110" s="2">
        <v>1448.6185000000003</v>
      </c>
      <c r="H110" s="2">
        <v>173.0</v>
      </c>
      <c r="I110" s="2">
        <v>3109.0</v>
      </c>
      <c r="J110" s="2">
        <f t="shared" si="1"/>
        <v>1.51</v>
      </c>
      <c r="K110" s="2">
        <f t="shared" si="2"/>
        <v>1.51</v>
      </c>
      <c r="L110" s="2">
        <f t="shared" si="3"/>
        <v>105.7</v>
      </c>
      <c r="M110" s="2">
        <f t="shared" si="4"/>
        <v>0.1803304321</v>
      </c>
    </row>
    <row r="111" ht="15.75" customHeight="1">
      <c r="A111" s="3">
        <v>44940.0</v>
      </c>
      <c r="B111" s="2" t="s">
        <v>26</v>
      </c>
      <c r="C111" s="2" t="s">
        <v>31</v>
      </c>
      <c r="D111" s="2" t="s">
        <v>18</v>
      </c>
      <c r="E111" s="2">
        <v>11580.0</v>
      </c>
      <c r="F111" s="2">
        <v>463.2</v>
      </c>
      <c r="G111" s="2">
        <v>152.856</v>
      </c>
      <c r="H111" s="2">
        <v>37.0</v>
      </c>
      <c r="I111" s="2">
        <v>4824.0</v>
      </c>
      <c r="J111" s="2">
        <f t="shared" si="1"/>
        <v>0.33</v>
      </c>
      <c r="K111" s="2">
        <f t="shared" si="2"/>
        <v>0.33</v>
      </c>
      <c r="L111" s="2">
        <f t="shared" si="3"/>
        <v>13.2</v>
      </c>
      <c r="M111" s="2">
        <f t="shared" si="4"/>
        <v>0.0798791019</v>
      </c>
    </row>
    <row r="112" ht="15.75" customHeight="1">
      <c r="A112" s="3">
        <v>44940.0</v>
      </c>
      <c r="B112" s="2" t="s">
        <v>33</v>
      </c>
      <c r="C112" s="2" t="s">
        <v>34</v>
      </c>
      <c r="D112" s="2" t="s">
        <v>30</v>
      </c>
      <c r="E112" s="2">
        <v>4450.0</v>
      </c>
      <c r="F112" s="2">
        <v>356.0</v>
      </c>
      <c r="G112" s="2">
        <v>0.0</v>
      </c>
      <c r="H112" s="2">
        <v>39.0</v>
      </c>
      <c r="I112" s="2">
        <v>3864.0</v>
      </c>
      <c r="J112" s="2">
        <f t="shared" si="1"/>
        <v>0</v>
      </c>
      <c r="K112" s="2">
        <f t="shared" si="2"/>
        <v>0</v>
      </c>
      <c r="L112" s="2">
        <f t="shared" si="3"/>
        <v>0</v>
      </c>
      <c r="M112" s="2">
        <f t="shared" si="4"/>
        <v>0.1095505618</v>
      </c>
    </row>
    <row r="113" ht="15.75" customHeight="1">
      <c r="A113" s="3">
        <v>44940.0</v>
      </c>
      <c r="B113" s="2" t="s">
        <v>33</v>
      </c>
      <c r="C113" s="2" t="s">
        <v>35</v>
      </c>
      <c r="D113" s="2" t="s">
        <v>28</v>
      </c>
      <c r="E113" s="2">
        <v>4765.0</v>
      </c>
      <c r="F113" s="2">
        <v>381.2</v>
      </c>
      <c r="G113" s="2">
        <v>0.0</v>
      </c>
      <c r="H113" s="2">
        <v>53.0</v>
      </c>
      <c r="I113" s="2">
        <v>331.0</v>
      </c>
      <c r="J113" s="2">
        <f t="shared" si="1"/>
        <v>0</v>
      </c>
      <c r="K113" s="2">
        <f t="shared" si="2"/>
        <v>0</v>
      </c>
      <c r="L113" s="2">
        <f t="shared" si="3"/>
        <v>0</v>
      </c>
      <c r="M113" s="2">
        <f t="shared" si="4"/>
        <v>0.1390346275</v>
      </c>
    </row>
    <row r="114" ht="15.75" customHeight="1">
      <c r="A114" s="3">
        <v>44941.0</v>
      </c>
      <c r="B114" s="2" t="s">
        <v>14</v>
      </c>
      <c r="C114" s="2" t="s">
        <v>15</v>
      </c>
      <c r="D114" s="2" t="s">
        <v>16</v>
      </c>
      <c r="E114" s="2">
        <v>10637.0</v>
      </c>
      <c r="F114" s="2">
        <v>319.11</v>
      </c>
      <c r="G114" s="2">
        <v>114.8796</v>
      </c>
      <c r="H114" s="2">
        <v>22.0</v>
      </c>
      <c r="I114" s="2">
        <v>2652.0</v>
      </c>
      <c r="J114" s="2">
        <f t="shared" si="1"/>
        <v>0.36</v>
      </c>
      <c r="K114" s="2">
        <f t="shared" si="2"/>
        <v>0.36</v>
      </c>
      <c r="L114" s="2">
        <f t="shared" si="3"/>
        <v>10.8</v>
      </c>
      <c r="M114" s="2">
        <f t="shared" si="4"/>
        <v>0.06894174423</v>
      </c>
    </row>
    <row r="115" ht="15.75" customHeight="1">
      <c r="A115" s="3">
        <v>44941.0</v>
      </c>
      <c r="B115" s="2" t="s">
        <v>14</v>
      </c>
      <c r="C115" s="2" t="s">
        <v>17</v>
      </c>
      <c r="D115" s="2" t="s">
        <v>16</v>
      </c>
      <c r="E115" s="2">
        <v>10647.0</v>
      </c>
      <c r="F115" s="2">
        <v>958.23</v>
      </c>
      <c r="G115" s="2">
        <v>632.4318000000001</v>
      </c>
      <c r="H115" s="2">
        <v>115.0</v>
      </c>
      <c r="I115" s="2">
        <v>3188.0</v>
      </c>
      <c r="J115" s="2">
        <f t="shared" si="1"/>
        <v>0.66</v>
      </c>
      <c r="K115" s="2">
        <f t="shared" si="2"/>
        <v>0.66</v>
      </c>
      <c r="L115" s="2">
        <f t="shared" si="3"/>
        <v>59.4</v>
      </c>
      <c r="M115" s="2">
        <f t="shared" si="4"/>
        <v>0.1200129405</v>
      </c>
    </row>
    <row r="116" ht="15.75" customHeight="1">
      <c r="A116" s="3">
        <v>44941.0</v>
      </c>
      <c r="B116" s="2" t="s">
        <v>20</v>
      </c>
      <c r="C116" s="2" t="s">
        <v>21</v>
      </c>
      <c r="D116" s="2" t="s">
        <v>32</v>
      </c>
      <c r="E116" s="2">
        <v>5306.0</v>
      </c>
      <c r="F116" s="2">
        <v>265.3</v>
      </c>
      <c r="G116" s="2">
        <v>265.3</v>
      </c>
      <c r="H116" s="2">
        <v>19.0</v>
      </c>
      <c r="I116" s="2">
        <v>2634.0</v>
      </c>
      <c r="J116" s="2">
        <f t="shared" si="1"/>
        <v>1</v>
      </c>
      <c r="K116" s="2">
        <f t="shared" si="2"/>
        <v>1</v>
      </c>
      <c r="L116" s="2">
        <f t="shared" si="3"/>
        <v>50</v>
      </c>
      <c r="M116" s="2">
        <f t="shared" si="4"/>
        <v>0.07161703732</v>
      </c>
    </row>
    <row r="117" ht="15.75" customHeight="1">
      <c r="A117" s="3">
        <v>44941.0</v>
      </c>
      <c r="B117" s="2" t="s">
        <v>20</v>
      </c>
      <c r="C117" s="2" t="s">
        <v>23</v>
      </c>
      <c r="D117" s="2" t="s">
        <v>30</v>
      </c>
      <c r="E117" s="2">
        <v>2564.0</v>
      </c>
      <c r="F117" s="2">
        <v>128.20000000000002</v>
      </c>
      <c r="G117" s="2">
        <v>155.122</v>
      </c>
      <c r="H117" s="2">
        <v>13.0</v>
      </c>
      <c r="I117" s="2">
        <v>4830.0</v>
      </c>
      <c r="J117" s="2">
        <f t="shared" si="1"/>
        <v>1.21</v>
      </c>
      <c r="K117" s="2">
        <f t="shared" si="2"/>
        <v>1.21</v>
      </c>
      <c r="L117" s="2">
        <f t="shared" si="3"/>
        <v>60.5</v>
      </c>
      <c r="M117" s="2">
        <f t="shared" si="4"/>
        <v>0.1014040562</v>
      </c>
    </row>
    <row r="118" ht="15.75" customHeight="1">
      <c r="A118" s="3">
        <v>44941.0</v>
      </c>
      <c r="B118" s="2" t="s">
        <v>26</v>
      </c>
      <c r="C118" s="2" t="s">
        <v>27</v>
      </c>
      <c r="D118" s="2" t="s">
        <v>16</v>
      </c>
      <c r="E118" s="2">
        <v>12723.0</v>
      </c>
      <c r="F118" s="2">
        <v>1145.07</v>
      </c>
      <c r="G118" s="2">
        <v>1671.8021999999999</v>
      </c>
      <c r="H118" s="2">
        <v>137.0</v>
      </c>
      <c r="I118" s="2">
        <v>4766.0</v>
      </c>
      <c r="J118" s="2">
        <f t="shared" si="1"/>
        <v>1.46</v>
      </c>
      <c r="K118" s="2">
        <f t="shared" si="2"/>
        <v>1.46</v>
      </c>
      <c r="L118" s="2">
        <f t="shared" si="3"/>
        <v>131.4</v>
      </c>
      <c r="M118" s="2">
        <f t="shared" si="4"/>
        <v>0.1196433406</v>
      </c>
    </row>
    <row r="119" ht="15.75" customHeight="1">
      <c r="A119" s="3">
        <v>44941.0</v>
      </c>
      <c r="B119" s="2" t="s">
        <v>26</v>
      </c>
      <c r="C119" s="2" t="s">
        <v>31</v>
      </c>
      <c r="D119" s="2" t="s">
        <v>22</v>
      </c>
      <c r="E119" s="2">
        <v>10193.0</v>
      </c>
      <c r="F119" s="2">
        <v>509.65000000000003</v>
      </c>
      <c r="G119" s="2">
        <v>423.0095</v>
      </c>
      <c r="H119" s="2">
        <v>66.0</v>
      </c>
      <c r="I119" s="2">
        <v>2668.0</v>
      </c>
      <c r="J119" s="2">
        <f t="shared" si="1"/>
        <v>0.83</v>
      </c>
      <c r="K119" s="2">
        <f t="shared" si="2"/>
        <v>0.83</v>
      </c>
      <c r="L119" s="2">
        <f t="shared" si="3"/>
        <v>41.5</v>
      </c>
      <c r="M119" s="2">
        <f t="shared" si="4"/>
        <v>0.1295006377</v>
      </c>
    </row>
    <row r="120" ht="15.75" customHeight="1">
      <c r="A120" s="3">
        <v>44941.0</v>
      </c>
      <c r="B120" s="2" t="s">
        <v>33</v>
      </c>
      <c r="C120" s="2" t="s">
        <v>34</v>
      </c>
      <c r="D120" s="2" t="s">
        <v>13</v>
      </c>
      <c r="E120" s="2">
        <v>2706.0</v>
      </c>
      <c r="F120" s="2">
        <v>54.120000000000005</v>
      </c>
      <c r="G120" s="2">
        <v>0.0</v>
      </c>
      <c r="H120" s="2">
        <v>4.0</v>
      </c>
      <c r="I120" s="2">
        <v>1047.0</v>
      </c>
      <c r="J120" s="2">
        <f t="shared" si="1"/>
        <v>0</v>
      </c>
      <c r="K120" s="2">
        <f t="shared" si="2"/>
        <v>0</v>
      </c>
      <c r="L120" s="2">
        <f t="shared" si="3"/>
        <v>0</v>
      </c>
      <c r="M120" s="2">
        <f t="shared" si="4"/>
        <v>0.07390983001</v>
      </c>
    </row>
    <row r="121" ht="15.75" customHeight="1">
      <c r="A121" s="3">
        <v>44941.0</v>
      </c>
      <c r="B121" s="2" t="s">
        <v>33</v>
      </c>
      <c r="C121" s="2" t="s">
        <v>35</v>
      </c>
      <c r="D121" s="2" t="s">
        <v>28</v>
      </c>
      <c r="E121" s="2">
        <v>4321.0</v>
      </c>
      <c r="F121" s="2">
        <v>388.89</v>
      </c>
      <c r="G121" s="2">
        <v>0.0</v>
      </c>
      <c r="H121" s="2">
        <v>43.0</v>
      </c>
      <c r="I121" s="2">
        <v>3050.0</v>
      </c>
      <c r="J121" s="2">
        <f t="shared" si="1"/>
        <v>0</v>
      </c>
      <c r="K121" s="2">
        <f t="shared" si="2"/>
        <v>0</v>
      </c>
      <c r="L121" s="2">
        <f t="shared" si="3"/>
        <v>0</v>
      </c>
      <c r="M121" s="2">
        <f t="shared" si="4"/>
        <v>0.1105711127</v>
      </c>
    </row>
    <row r="122" ht="15.75" customHeight="1">
      <c r="A122" s="3">
        <v>44942.0</v>
      </c>
      <c r="B122" s="2" t="s">
        <v>14</v>
      </c>
      <c r="C122" s="2" t="s">
        <v>15</v>
      </c>
      <c r="D122" s="2" t="s">
        <v>22</v>
      </c>
      <c r="E122" s="2">
        <v>8543.0</v>
      </c>
      <c r="F122" s="2">
        <v>598.0100000000001</v>
      </c>
      <c r="G122" s="2">
        <v>454.4876000000001</v>
      </c>
      <c r="H122" s="2">
        <v>78.0</v>
      </c>
      <c r="I122" s="2">
        <v>2721.0</v>
      </c>
      <c r="J122" s="2">
        <f t="shared" si="1"/>
        <v>0.76</v>
      </c>
      <c r="K122" s="2">
        <f t="shared" si="2"/>
        <v>0.76</v>
      </c>
      <c r="L122" s="2">
        <f t="shared" si="3"/>
        <v>53.2</v>
      </c>
      <c r="M122" s="2">
        <f t="shared" si="4"/>
        <v>0.1304326015</v>
      </c>
    </row>
    <row r="123" ht="15.75" customHeight="1">
      <c r="A123" s="3">
        <v>44942.0</v>
      </c>
      <c r="B123" s="2" t="s">
        <v>14</v>
      </c>
      <c r="C123" s="2" t="s">
        <v>17</v>
      </c>
      <c r="D123" s="2" t="s">
        <v>19</v>
      </c>
      <c r="E123" s="2">
        <v>9828.0</v>
      </c>
      <c r="F123" s="2">
        <v>589.68</v>
      </c>
      <c r="G123" s="2">
        <v>648.648</v>
      </c>
      <c r="H123" s="2">
        <v>88.0</v>
      </c>
      <c r="I123" s="2">
        <v>1221.0</v>
      </c>
      <c r="J123" s="2">
        <f t="shared" si="1"/>
        <v>1.1</v>
      </c>
      <c r="K123" s="2">
        <f t="shared" si="2"/>
        <v>1.1</v>
      </c>
      <c r="L123" s="2">
        <f t="shared" si="3"/>
        <v>66</v>
      </c>
      <c r="M123" s="2">
        <f t="shared" si="4"/>
        <v>0.1492334826</v>
      </c>
    </row>
    <row r="124" ht="15.75" customHeight="1">
      <c r="A124" s="3">
        <v>44942.0</v>
      </c>
      <c r="B124" s="2" t="s">
        <v>20</v>
      </c>
      <c r="C124" s="2" t="s">
        <v>21</v>
      </c>
      <c r="D124" s="2" t="s">
        <v>32</v>
      </c>
      <c r="E124" s="2">
        <v>4515.0</v>
      </c>
      <c r="F124" s="2">
        <v>135.45</v>
      </c>
      <c r="G124" s="2">
        <v>205.884</v>
      </c>
      <c r="H124" s="2">
        <v>19.0</v>
      </c>
      <c r="I124" s="2">
        <v>1269.0</v>
      </c>
      <c r="J124" s="2">
        <f t="shared" si="1"/>
        <v>1.52</v>
      </c>
      <c r="K124" s="2">
        <f t="shared" si="2"/>
        <v>1.52</v>
      </c>
      <c r="L124" s="2">
        <f t="shared" si="3"/>
        <v>45.6</v>
      </c>
      <c r="M124" s="2">
        <f t="shared" si="4"/>
        <v>0.1402731635</v>
      </c>
    </row>
    <row r="125" ht="15.75" customHeight="1">
      <c r="A125" s="3">
        <v>44942.0</v>
      </c>
      <c r="B125" s="2" t="s">
        <v>20</v>
      </c>
      <c r="C125" s="2" t="s">
        <v>23</v>
      </c>
      <c r="D125" s="2" t="s">
        <v>30</v>
      </c>
      <c r="E125" s="2">
        <v>3139.0</v>
      </c>
      <c r="F125" s="2">
        <v>251.12</v>
      </c>
      <c r="G125" s="2">
        <v>323.9448</v>
      </c>
      <c r="H125" s="2">
        <v>40.0</v>
      </c>
      <c r="I125" s="2">
        <v>3399.0</v>
      </c>
      <c r="J125" s="2">
        <f t="shared" si="1"/>
        <v>1.29</v>
      </c>
      <c r="K125" s="2">
        <f t="shared" si="2"/>
        <v>1.29</v>
      </c>
      <c r="L125" s="2">
        <f t="shared" si="3"/>
        <v>103.2</v>
      </c>
      <c r="M125" s="2">
        <f t="shared" si="4"/>
        <v>0.1592863969</v>
      </c>
    </row>
    <row r="126" ht="15.75" customHeight="1">
      <c r="A126" s="3">
        <v>44942.0</v>
      </c>
      <c r="B126" s="2" t="s">
        <v>26</v>
      </c>
      <c r="C126" s="2" t="s">
        <v>27</v>
      </c>
      <c r="D126" s="2" t="s">
        <v>24</v>
      </c>
      <c r="E126" s="2">
        <v>14502.0</v>
      </c>
      <c r="F126" s="2">
        <v>290.04</v>
      </c>
      <c r="G126" s="2">
        <v>350.9484</v>
      </c>
      <c r="H126" s="2">
        <v>46.0</v>
      </c>
      <c r="I126" s="2">
        <v>368.0</v>
      </c>
      <c r="J126" s="2">
        <f t="shared" si="1"/>
        <v>1.21</v>
      </c>
      <c r="K126" s="2">
        <f t="shared" si="2"/>
        <v>1.21</v>
      </c>
      <c r="L126" s="2">
        <f t="shared" si="3"/>
        <v>24.2</v>
      </c>
      <c r="M126" s="2">
        <f t="shared" si="4"/>
        <v>0.158598814</v>
      </c>
    </row>
    <row r="127" ht="15.75" customHeight="1">
      <c r="A127" s="3">
        <v>44942.0</v>
      </c>
      <c r="B127" s="2" t="s">
        <v>26</v>
      </c>
      <c r="C127" s="2" t="s">
        <v>31</v>
      </c>
      <c r="D127" s="2" t="s">
        <v>16</v>
      </c>
      <c r="E127" s="2">
        <v>14533.0</v>
      </c>
      <c r="F127" s="2">
        <v>1162.64</v>
      </c>
      <c r="G127" s="2">
        <v>953.3648000000001</v>
      </c>
      <c r="H127" s="2">
        <v>116.0</v>
      </c>
      <c r="I127" s="2">
        <v>2917.0</v>
      </c>
      <c r="J127" s="2">
        <f t="shared" si="1"/>
        <v>0.82</v>
      </c>
      <c r="K127" s="2">
        <f t="shared" si="2"/>
        <v>0.82</v>
      </c>
      <c r="L127" s="2">
        <f t="shared" si="3"/>
        <v>65.6</v>
      </c>
      <c r="M127" s="2">
        <f t="shared" si="4"/>
        <v>0.09977293057</v>
      </c>
    </row>
    <row r="128" ht="15.75" customHeight="1">
      <c r="A128" s="3">
        <v>44942.0</v>
      </c>
      <c r="B128" s="2" t="s">
        <v>33</v>
      </c>
      <c r="C128" s="2" t="s">
        <v>34</v>
      </c>
      <c r="D128" s="2" t="s">
        <v>32</v>
      </c>
      <c r="E128" s="2">
        <v>2758.0</v>
      </c>
      <c r="F128" s="2">
        <v>137.9</v>
      </c>
      <c r="G128" s="2">
        <v>0.0</v>
      </c>
      <c r="H128" s="2">
        <v>8.0</v>
      </c>
      <c r="I128" s="2">
        <v>4992.0</v>
      </c>
      <c r="J128" s="2">
        <f t="shared" si="1"/>
        <v>0</v>
      </c>
      <c r="K128" s="2">
        <f t="shared" si="2"/>
        <v>0</v>
      </c>
      <c r="L128" s="2">
        <f t="shared" si="3"/>
        <v>0</v>
      </c>
      <c r="M128" s="2">
        <f t="shared" si="4"/>
        <v>0.05801305294</v>
      </c>
    </row>
    <row r="129" ht="15.75" customHeight="1">
      <c r="A129" s="3">
        <v>44942.0</v>
      </c>
      <c r="B129" s="2" t="s">
        <v>33</v>
      </c>
      <c r="C129" s="2" t="s">
        <v>35</v>
      </c>
      <c r="D129" s="2" t="s">
        <v>32</v>
      </c>
      <c r="E129" s="2">
        <v>2229.0</v>
      </c>
      <c r="F129" s="2">
        <v>66.87</v>
      </c>
      <c r="G129" s="2">
        <v>0.0</v>
      </c>
      <c r="H129" s="2">
        <v>7.0</v>
      </c>
      <c r="I129" s="2">
        <v>3807.0</v>
      </c>
      <c r="J129" s="2">
        <f t="shared" si="1"/>
        <v>0</v>
      </c>
      <c r="K129" s="2">
        <f t="shared" si="2"/>
        <v>0</v>
      </c>
      <c r="L129" s="2">
        <f t="shared" si="3"/>
        <v>0</v>
      </c>
      <c r="M129" s="2">
        <f t="shared" si="4"/>
        <v>0.1046807238</v>
      </c>
    </row>
    <row r="130" ht="15.75" customHeight="1">
      <c r="A130" s="3">
        <v>44943.0</v>
      </c>
      <c r="B130" s="2" t="s">
        <v>14</v>
      </c>
      <c r="C130" s="2" t="s">
        <v>15</v>
      </c>
      <c r="D130" s="2" t="s">
        <v>22</v>
      </c>
      <c r="E130" s="2">
        <v>7016.0</v>
      </c>
      <c r="F130" s="2">
        <v>140.32</v>
      </c>
      <c r="G130" s="2">
        <v>72.9664</v>
      </c>
      <c r="H130" s="2">
        <v>25.0</v>
      </c>
      <c r="I130" s="2">
        <v>837.0</v>
      </c>
      <c r="J130" s="2">
        <f t="shared" si="1"/>
        <v>0.52</v>
      </c>
      <c r="K130" s="2">
        <f t="shared" si="2"/>
        <v>0.52</v>
      </c>
      <c r="L130" s="2">
        <f t="shared" si="3"/>
        <v>10.4</v>
      </c>
      <c r="M130" s="2">
        <f t="shared" si="4"/>
        <v>0.1781641961</v>
      </c>
    </row>
    <row r="131" ht="15.75" customHeight="1">
      <c r="A131" s="3">
        <v>44943.0</v>
      </c>
      <c r="B131" s="2" t="s">
        <v>14</v>
      </c>
      <c r="C131" s="2" t="s">
        <v>17</v>
      </c>
      <c r="D131" s="2" t="s">
        <v>28</v>
      </c>
      <c r="E131" s="2">
        <v>6624.0</v>
      </c>
      <c r="F131" s="2">
        <v>198.72</v>
      </c>
      <c r="G131" s="2">
        <v>202.6944</v>
      </c>
      <c r="H131" s="2">
        <v>20.0</v>
      </c>
      <c r="I131" s="2">
        <v>4097.0</v>
      </c>
      <c r="J131" s="2">
        <f t="shared" si="1"/>
        <v>1.02</v>
      </c>
      <c r="K131" s="2">
        <f t="shared" si="2"/>
        <v>1.02</v>
      </c>
      <c r="L131" s="2">
        <f t="shared" si="3"/>
        <v>30.6</v>
      </c>
      <c r="M131" s="2">
        <f t="shared" si="4"/>
        <v>0.1006441224</v>
      </c>
    </row>
    <row r="132" ht="15.75" customHeight="1">
      <c r="A132" s="3">
        <v>44943.0</v>
      </c>
      <c r="B132" s="2" t="s">
        <v>20</v>
      </c>
      <c r="C132" s="2" t="s">
        <v>21</v>
      </c>
      <c r="D132" s="2" t="s">
        <v>32</v>
      </c>
      <c r="E132" s="2">
        <v>4747.0</v>
      </c>
      <c r="F132" s="2">
        <v>94.94</v>
      </c>
      <c r="G132" s="2">
        <v>93.9906</v>
      </c>
      <c r="H132" s="2">
        <v>7.0</v>
      </c>
      <c r="I132" s="2">
        <v>1064.0</v>
      </c>
      <c r="J132" s="2">
        <f t="shared" si="1"/>
        <v>0.99</v>
      </c>
      <c r="K132" s="2">
        <f t="shared" si="2"/>
        <v>0.99</v>
      </c>
      <c r="L132" s="2">
        <f t="shared" si="3"/>
        <v>19.8</v>
      </c>
      <c r="M132" s="2">
        <f t="shared" si="4"/>
        <v>0.07373077733</v>
      </c>
    </row>
    <row r="133" ht="15.75" customHeight="1">
      <c r="A133" s="3">
        <v>44943.0</v>
      </c>
      <c r="B133" s="2" t="s">
        <v>20</v>
      </c>
      <c r="C133" s="2" t="s">
        <v>23</v>
      </c>
      <c r="D133" s="2" t="s">
        <v>22</v>
      </c>
      <c r="E133" s="2">
        <v>5812.0</v>
      </c>
      <c r="F133" s="2">
        <v>116.24000000000001</v>
      </c>
      <c r="G133" s="2">
        <v>211.5568</v>
      </c>
      <c r="H133" s="2">
        <v>21.0</v>
      </c>
      <c r="I133" s="2">
        <v>285.0</v>
      </c>
      <c r="J133" s="2">
        <f t="shared" si="1"/>
        <v>1.82</v>
      </c>
      <c r="K133" s="2">
        <f t="shared" si="2"/>
        <v>1.82</v>
      </c>
      <c r="L133" s="2">
        <f t="shared" si="3"/>
        <v>36.4</v>
      </c>
      <c r="M133" s="2">
        <f t="shared" si="4"/>
        <v>0.180660702</v>
      </c>
    </row>
    <row r="134" ht="15.75" customHeight="1">
      <c r="A134" s="3">
        <v>44943.0</v>
      </c>
      <c r="B134" s="2" t="s">
        <v>26</v>
      </c>
      <c r="C134" s="2" t="s">
        <v>27</v>
      </c>
      <c r="D134" s="2" t="s">
        <v>25</v>
      </c>
      <c r="E134" s="2">
        <v>10687.0</v>
      </c>
      <c r="F134" s="2">
        <v>641.22</v>
      </c>
      <c r="G134" s="2">
        <v>615.5712</v>
      </c>
      <c r="H134" s="2">
        <v>77.0</v>
      </c>
      <c r="I134" s="2">
        <v>2149.0</v>
      </c>
      <c r="J134" s="2">
        <f t="shared" si="1"/>
        <v>0.96</v>
      </c>
      <c r="K134" s="2">
        <f t="shared" si="2"/>
        <v>0.96</v>
      </c>
      <c r="L134" s="2">
        <f t="shared" si="3"/>
        <v>57.6</v>
      </c>
      <c r="M134" s="2">
        <f t="shared" si="4"/>
        <v>0.1200835907</v>
      </c>
    </row>
    <row r="135" ht="15.75" customHeight="1">
      <c r="A135" s="3">
        <v>44943.0</v>
      </c>
      <c r="B135" s="2" t="s">
        <v>26</v>
      </c>
      <c r="C135" s="2" t="s">
        <v>31</v>
      </c>
      <c r="D135" s="2" t="s">
        <v>28</v>
      </c>
      <c r="E135" s="2">
        <v>13880.0</v>
      </c>
      <c r="F135" s="2">
        <v>416.4</v>
      </c>
      <c r="G135" s="2">
        <v>641.256</v>
      </c>
      <c r="H135" s="2">
        <v>25.0</v>
      </c>
      <c r="I135" s="2">
        <v>2378.0</v>
      </c>
      <c r="J135" s="2">
        <f t="shared" si="1"/>
        <v>1.54</v>
      </c>
      <c r="K135" s="2">
        <f t="shared" si="2"/>
        <v>1.54</v>
      </c>
      <c r="L135" s="2">
        <f t="shared" si="3"/>
        <v>46.2</v>
      </c>
      <c r="M135" s="2">
        <f t="shared" si="4"/>
        <v>0.06003842459</v>
      </c>
    </row>
    <row r="136" ht="15.75" customHeight="1">
      <c r="A136" s="3">
        <v>44943.0</v>
      </c>
      <c r="B136" s="2" t="s">
        <v>33</v>
      </c>
      <c r="C136" s="2" t="s">
        <v>34</v>
      </c>
      <c r="D136" s="2" t="s">
        <v>24</v>
      </c>
      <c r="E136" s="2">
        <v>5943.0</v>
      </c>
      <c r="F136" s="2">
        <v>118.86</v>
      </c>
      <c r="G136" s="2">
        <v>0.0</v>
      </c>
      <c r="H136" s="2">
        <v>8.0</v>
      </c>
      <c r="I136" s="2">
        <v>3630.0</v>
      </c>
      <c r="J136" s="2">
        <f t="shared" si="1"/>
        <v>0</v>
      </c>
      <c r="K136" s="2">
        <f t="shared" si="2"/>
        <v>0</v>
      </c>
      <c r="L136" s="2">
        <f t="shared" si="3"/>
        <v>0</v>
      </c>
      <c r="M136" s="2">
        <f t="shared" si="4"/>
        <v>0.06730607437</v>
      </c>
    </row>
    <row r="137" ht="15.75" customHeight="1">
      <c r="A137" s="3">
        <v>44943.0</v>
      </c>
      <c r="B137" s="2" t="s">
        <v>33</v>
      </c>
      <c r="C137" s="2" t="s">
        <v>35</v>
      </c>
      <c r="D137" s="2" t="s">
        <v>22</v>
      </c>
      <c r="E137" s="2">
        <v>4911.0</v>
      </c>
      <c r="F137" s="2">
        <v>491.1</v>
      </c>
      <c r="G137" s="2">
        <v>0.0</v>
      </c>
      <c r="H137" s="2">
        <v>44.0</v>
      </c>
      <c r="I137" s="2">
        <v>2690.0</v>
      </c>
      <c r="J137" s="2">
        <f t="shared" si="1"/>
        <v>0</v>
      </c>
      <c r="K137" s="2">
        <f t="shared" si="2"/>
        <v>0</v>
      </c>
      <c r="L137" s="2">
        <f t="shared" si="3"/>
        <v>0</v>
      </c>
      <c r="M137" s="2">
        <f t="shared" si="4"/>
        <v>0.08959478721</v>
      </c>
    </row>
    <row r="138" ht="15.75" customHeight="1">
      <c r="A138" s="3">
        <v>44944.0</v>
      </c>
      <c r="B138" s="2" t="s">
        <v>14</v>
      </c>
      <c r="C138" s="2" t="s">
        <v>15</v>
      </c>
      <c r="D138" s="2" t="s">
        <v>19</v>
      </c>
      <c r="E138" s="2">
        <v>6181.0</v>
      </c>
      <c r="F138" s="2">
        <v>556.29</v>
      </c>
      <c r="G138" s="2">
        <v>945.6929999999999</v>
      </c>
      <c r="H138" s="2">
        <v>28.0</v>
      </c>
      <c r="I138" s="2">
        <v>4934.0</v>
      </c>
      <c r="J138" s="2">
        <f t="shared" si="1"/>
        <v>1.7</v>
      </c>
      <c r="K138" s="2">
        <f t="shared" si="2"/>
        <v>1.7</v>
      </c>
      <c r="L138" s="2">
        <f t="shared" si="3"/>
        <v>153</v>
      </c>
      <c r="M138" s="2">
        <f t="shared" si="4"/>
        <v>0.05033345917</v>
      </c>
    </row>
    <row r="139" ht="15.75" customHeight="1">
      <c r="A139" s="3">
        <v>44944.0</v>
      </c>
      <c r="B139" s="2" t="s">
        <v>14</v>
      </c>
      <c r="C139" s="2" t="s">
        <v>17</v>
      </c>
      <c r="D139" s="2" t="s">
        <v>22</v>
      </c>
      <c r="E139" s="2">
        <v>8232.0</v>
      </c>
      <c r="F139" s="2">
        <v>823.2</v>
      </c>
      <c r="G139" s="2">
        <v>1382.976</v>
      </c>
      <c r="H139" s="2">
        <v>132.0</v>
      </c>
      <c r="I139" s="2">
        <v>2337.0</v>
      </c>
      <c r="J139" s="2">
        <f t="shared" si="1"/>
        <v>1.68</v>
      </c>
      <c r="K139" s="2">
        <f t="shared" si="2"/>
        <v>1.68</v>
      </c>
      <c r="L139" s="2">
        <f t="shared" si="3"/>
        <v>168</v>
      </c>
      <c r="M139" s="2">
        <f t="shared" si="4"/>
        <v>0.1603498542</v>
      </c>
    </row>
    <row r="140" ht="15.75" customHeight="1">
      <c r="A140" s="3">
        <v>44944.0</v>
      </c>
      <c r="B140" s="2" t="s">
        <v>20</v>
      </c>
      <c r="C140" s="2" t="s">
        <v>21</v>
      </c>
      <c r="D140" s="2" t="s">
        <v>18</v>
      </c>
      <c r="E140" s="2">
        <v>3181.0</v>
      </c>
      <c r="F140" s="2">
        <v>159.05</v>
      </c>
      <c r="G140" s="2">
        <v>267.204</v>
      </c>
      <c r="H140" s="2">
        <v>19.0</v>
      </c>
      <c r="I140" s="2">
        <v>2390.0</v>
      </c>
      <c r="J140" s="2">
        <f t="shared" si="1"/>
        <v>1.68</v>
      </c>
      <c r="K140" s="2">
        <f t="shared" si="2"/>
        <v>1.68</v>
      </c>
      <c r="L140" s="2">
        <f t="shared" si="3"/>
        <v>84</v>
      </c>
      <c r="M140" s="2">
        <f t="shared" si="4"/>
        <v>0.1194592895</v>
      </c>
    </row>
    <row r="141" ht="15.75" customHeight="1">
      <c r="A141" s="3">
        <v>44944.0</v>
      </c>
      <c r="B141" s="2" t="s">
        <v>20</v>
      </c>
      <c r="C141" s="2" t="s">
        <v>23</v>
      </c>
      <c r="D141" s="2" t="s">
        <v>16</v>
      </c>
      <c r="E141" s="2">
        <v>2806.0</v>
      </c>
      <c r="F141" s="2">
        <v>112.24000000000001</v>
      </c>
      <c r="G141" s="2">
        <v>41.528800000000004</v>
      </c>
      <c r="H141" s="2">
        <v>19.0</v>
      </c>
      <c r="I141" s="2">
        <v>355.0</v>
      </c>
      <c r="J141" s="2">
        <f t="shared" si="1"/>
        <v>0.37</v>
      </c>
      <c r="K141" s="2">
        <f t="shared" si="2"/>
        <v>0.37</v>
      </c>
      <c r="L141" s="2">
        <f t="shared" si="3"/>
        <v>14.8</v>
      </c>
      <c r="M141" s="2">
        <f t="shared" si="4"/>
        <v>0.169280114</v>
      </c>
    </row>
    <row r="142" ht="15.75" customHeight="1">
      <c r="A142" s="3">
        <v>44944.0</v>
      </c>
      <c r="B142" s="2" t="s">
        <v>26</v>
      </c>
      <c r="C142" s="2" t="s">
        <v>27</v>
      </c>
      <c r="D142" s="2" t="s">
        <v>32</v>
      </c>
      <c r="E142" s="2">
        <v>11532.0</v>
      </c>
      <c r="F142" s="2">
        <v>922.5600000000001</v>
      </c>
      <c r="G142" s="2">
        <v>1845.1200000000001</v>
      </c>
      <c r="H142" s="2">
        <v>55.0</v>
      </c>
      <c r="I142" s="2">
        <v>226.0</v>
      </c>
      <c r="J142" s="2">
        <f t="shared" si="1"/>
        <v>2</v>
      </c>
      <c r="K142" s="2">
        <f t="shared" si="2"/>
        <v>2</v>
      </c>
      <c r="L142" s="2">
        <f t="shared" si="3"/>
        <v>160</v>
      </c>
      <c r="M142" s="2">
        <f t="shared" si="4"/>
        <v>0.0596167187</v>
      </c>
    </row>
    <row r="143" ht="15.75" customHeight="1">
      <c r="A143" s="3">
        <v>44944.0</v>
      </c>
      <c r="B143" s="2" t="s">
        <v>26</v>
      </c>
      <c r="C143" s="2" t="s">
        <v>31</v>
      </c>
      <c r="D143" s="2" t="s">
        <v>22</v>
      </c>
      <c r="E143" s="2">
        <v>8708.0</v>
      </c>
      <c r="F143" s="2">
        <v>522.48</v>
      </c>
      <c r="G143" s="2">
        <v>465.0072</v>
      </c>
      <c r="H143" s="2">
        <v>42.0</v>
      </c>
      <c r="I143" s="2">
        <v>1298.0</v>
      </c>
      <c r="J143" s="2">
        <f t="shared" si="1"/>
        <v>0.89</v>
      </c>
      <c r="K143" s="2">
        <f t="shared" si="2"/>
        <v>0.89</v>
      </c>
      <c r="L143" s="2">
        <f t="shared" si="3"/>
        <v>53.4</v>
      </c>
      <c r="M143" s="2">
        <f t="shared" si="4"/>
        <v>0.08038585209</v>
      </c>
    </row>
    <row r="144" ht="15.75" customHeight="1">
      <c r="A144" s="3">
        <v>44944.0</v>
      </c>
      <c r="B144" s="2" t="s">
        <v>33</v>
      </c>
      <c r="C144" s="2" t="s">
        <v>34</v>
      </c>
      <c r="D144" s="2" t="s">
        <v>13</v>
      </c>
      <c r="E144" s="2">
        <v>2368.0</v>
      </c>
      <c r="F144" s="2">
        <v>189.44</v>
      </c>
      <c r="G144" s="2">
        <v>0.0</v>
      </c>
      <c r="H144" s="2">
        <v>15.0</v>
      </c>
      <c r="I144" s="2">
        <v>1851.0</v>
      </c>
      <c r="J144" s="2">
        <f t="shared" si="1"/>
        <v>0</v>
      </c>
      <c r="K144" s="2">
        <f t="shared" si="2"/>
        <v>0</v>
      </c>
      <c r="L144" s="2">
        <f t="shared" si="3"/>
        <v>0</v>
      </c>
      <c r="M144" s="2">
        <f t="shared" si="4"/>
        <v>0.07918074324</v>
      </c>
    </row>
    <row r="145" ht="15.75" customHeight="1">
      <c r="A145" s="3">
        <v>44944.0</v>
      </c>
      <c r="B145" s="2" t="s">
        <v>33</v>
      </c>
      <c r="C145" s="2" t="s">
        <v>35</v>
      </c>
      <c r="D145" s="2" t="s">
        <v>28</v>
      </c>
      <c r="E145" s="2">
        <v>4769.0</v>
      </c>
      <c r="F145" s="2">
        <v>333.83000000000004</v>
      </c>
      <c r="G145" s="2">
        <v>0.0</v>
      </c>
      <c r="H145" s="2">
        <v>63.0</v>
      </c>
      <c r="I145" s="2">
        <v>4551.0</v>
      </c>
      <c r="J145" s="2">
        <f t="shared" si="1"/>
        <v>0</v>
      </c>
      <c r="K145" s="2">
        <f t="shared" si="2"/>
        <v>0</v>
      </c>
      <c r="L145" s="2">
        <f t="shared" si="3"/>
        <v>0</v>
      </c>
      <c r="M145" s="2">
        <f t="shared" si="4"/>
        <v>0.188718809</v>
      </c>
    </row>
    <row r="146" ht="15.75" customHeight="1">
      <c r="A146" s="3">
        <v>44945.0</v>
      </c>
      <c r="B146" s="2" t="s">
        <v>14</v>
      </c>
      <c r="C146" s="2" t="s">
        <v>15</v>
      </c>
      <c r="D146" s="2" t="s">
        <v>32</v>
      </c>
      <c r="E146" s="2">
        <v>7212.0</v>
      </c>
      <c r="F146" s="2">
        <v>649.0799999999999</v>
      </c>
      <c r="G146" s="2">
        <v>895.7303999999998</v>
      </c>
      <c r="H146" s="2">
        <v>84.0</v>
      </c>
      <c r="I146" s="2">
        <v>1804.0</v>
      </c>
      <c r="J146" s="2">
        <f t="shared" si="1"/>
        <v>1.38</v>
      </c>
      <c r="K146" s="2">
        <f t="shared" si="2"/>
        <v>1.38</v>
      </c>
      <c r="L146" s="2">
        <f t="shared" si="3"/>
        <v>124.2</v>
      </c>
      <c r="M146" s="2">
        <f t="shared" si="4"/>
        <v>0.1294139397</v>
      </c>
    </row>
    <row r="147" ht="15.75" customHeight="1">
      <c r="A147" s="3">
        <v>44945.0</v>
      </c>
      <c r="B147" s="2" t="s">
        <v>14</v>
      </c>
      <c r="C147" s="2" t="s">
        <v>17</v>
      </c>
      <c r="D147" s="2" t="s">
        <v>19</v>
      </c>
      <c r="E147" s="2">
        <v>8665.0</v>
      </c>
      <c r="F147" s="2">
        <v>693.2</v>
      </c>
      <c r="G147" s="2">
        <v>935.8200000000002</v>
      </c>
      <c r="H147" s="2">
        <v>49.0</v>
      </c>
      <c r="I147" s="2">
        <v>1384.0</v>
      </c>
      <c r="J147" s="2">
        <f t="shared" si="1"/>
        <v>1.35</v>
      </c>
      <c r="K147" s="2">
        <f t="shared" si="2"/>
        <v>1.35</v>
      </c>
      <c r="L147" s="2">
        <f t="shared" si="3"/>
        <v>108</v>
      </c>
      <c r="M147" s="2">
        <f t="shared" si="4"/>
        <v>0.07068667051</v>
      </c>
    </row>
    <row r="148" ht="15.75" customHeight="1">
      <c r="A148" s="3">
        <v>44945.0</v>
      </c>
      <c r="B148" s="2" t="s">
        <v>20</v>
      </c>
      <c r="C148" s="2" t="s">
        <v>21</v>
      </c>
      <c r="D148" s="2" t="s">
        <v>30</v>
      </c>
      <c r="E148" s="2">
        <v>5660.0</v>
      </c>
      <c r="F148" s="2">
        <v>283.0</v>
      </c>
      <c r="G148" s="2">
        <v>328.28</v>
      </c>
      <c r="H148" s="2">
        <v>54.0</v>
      </c>
      <c r="I148" s="2">
        <v>994.0</v>
      </c>
      <c r="J148" s="2">
        <f t="shared" si="1"/>
        <v>1.16</v>
      </c>
      <c r="K148" s="2">
        <f t="shared" si="2"/>
        <v>1.16</v>
      </c>
      <c r="L148" s="2">
        <f t="shared" si="3"/>
        <v>58</v>
      </c>
      <c r="M148" s="2">
        <f t="shared" si="4"/>
        <v>0.1908127208</v>
      </c>
    </row>
    <row r="149" ht="15.75" customHeight="1">
      <c r="A149" s="3">
        <v>44945.0</v>
      </c>
      <c r="B149" s="2" t="s">
        <v>20</v>
      </c>
      <c r="C149" s="2" t="s">
        <v>23</v>
      </c>
      <c r="D149" s="2" t="s">
        <v>32</v>
      </c>
      <c r="E149" s="2">
        <v>5728.0</v>
      </c>
      <c r="F149" s="2">
        <v>286.40000000000003</v>
      </c>
      <c r="G149" s="2">
        <v>117.424</v>
      </c>
      <c r="H149" s="2">
        <v>17.0</v>
      </c>
      <c r="I149" s="2">
        <v>2073.0</v>
      </c>
      <c r="J149" s="2">
        <f t="shared" si="1"/>
        <v>0.41</v>
      </c>
      <c r="K149" s="2">
        <f t="shared" si="2"/>
        <v>0.41</v>
      </c>
      <c r="L149" s="2">
        <f t="shared" si="3"/>
        <v>20.5</v>
      </c>
      <c r="M149" s="2">
        <f t="shared" si="4"/>
        <v>0.0593575419</v>
      </c>
    </row>
    <row r="150" ht="15.75" customHeight="1">
      <c r="A150" s="3">
        <v>44945.0</v>
      </c>
      <c r="B150" s="2" t="s">
        <v>26</v>
      </c>
      <c r="C150" s="2" t="s">
        <v>27</v>
      </c>
      <c r="D150" s="2" t="s">
        <v>30</v>
      </c>
      <c r="E150" s="2">
        <v>11081.0</v>
      </c>
      <c r="F150" s="2">
        <v>443.24</v>
      </c>
      <c r="G150" s="2">
        <v>336.86240000000004</v>
      </c>
      <c r="H150" s="2">
        <v>35.0</v>
      </c>
      <c r="I150" s="2">
        <v>2271.0</v>
      </c>
      <c r="J150" s="2">
        <f t="shared" si="1"/>
        <v>0.76</v>
      </c>
      <c r="K150" s="2">
        <f t="shared" si="2"/>
        <v>0.76</v>
      </c>
      <c r="L150" s="2">
        <f t="shared" si="3"/>
        <v>30.4</v>
      </c>
      <c r="M150" s="2">
        <f t="shared" si="4"/>
        <v>0.07896399242</v>
      </c>
    </row>
    <row r="151" ht="15.75" customHeight="1">
      <c r="A151" s="3">
        <v>44945.0</v>
      </c>
      <c r="B151" s="2" t="s">
        <v>26</v>
      </c>
      <c r="C151" s="2" t="s">
        <v>31</v>
      </c>
      <c r="D151" s="2" t="s">
        <v>18</v>
      </c>
      <c r="E151" s="2">
        <v>12417.0</v>
      </c>
      <c r="F151" s="2">
        <v>372.51</v>
      </c>
      <c r="G151" s="2">
        <v>547.5897</v>
      </c>
      <c r="H151" s="2">
        <v>34.0</v>
      </c>
      <c r="I151" s="2">
        <v>1816.0</v>
      </c>
      <c r="J151" s="2">
        <f t="shared" si="1"/>
        <v>1.47</v>
      </c>
      <c r="K151" s="2">
        <f t="shared" si="2"/>
        <v>1.47</v>
      </c>
      <c r="L151" s="2">
        <f t="shared" si="3"/>
        <v>44.1</v>
      </c>
      <c r="M151" s="2">
        <f t="shared" si="4"/>
        <v>0.09127271751</v>
      </c>
    </row>
    <row r="152" ht="15.75" customHeight="1">
      <c r="A152" s="3">
        <v>44945.0</v>
      </c>
      <c r="B152" s="2" t="s">
        <v>33</v>
      </c>
      <c r="C152" s="2" t="s">
        <v>34</v>
      </c>
      <c r="D152" s="2" t="s">
        <v>28</v>
      </c>
      <c r="E152" s="2">
        <v>5815.0</v>
      </c>
      <c r="F152" s="2">
        <v>232.6</v>
      </c>
      <c r="G152" s="2">
        <v>0.0</v>
      </c>
      <c r="H152" s="2">
        <v>37.0</v>
      </c>
      <c r="I152" s="2">
        <v>2541.0</v>
      </c>
      <c r="J152" s="2">
        <f t="shared" si="1"/>
        <v>0</v>
      </c>
      <c r="K152" s="2">
        <f t="shared" si="2"/>
        <v>0</v>
      </c>
      <c r="L152" s="2">
        <f t="shared" si="3"/>
        <v>0</v>
      </c>
      <c r="M152" s="2">
        <f t="shared" si="4"/>
        <v>0.1590713672</v>
      </c>
    </row>
    <row r="153" ht="15.75" customHeight="1">
      <c r="A153" s="3">
        <v>44945.0</v>
      </c>
      <c r="B153" s="2" t="s">
        <v>33</v>
      </c>
      <c r="C153" s="2" t="s">
        <v>35</v>
      </c>
      <c r="D153" s="2" t="s">
        <v>13</v>
      </c>
      <c r="E153" s="2">
        <v>4568.0</v>
      </c>
      <c r="F153" s="2">
        <v>319.76000000000005</v>
      </c>
      <c r="G153" s="2">
        <v>0.0</v>
      </c>
      <c r="H153" s="2">
        <v>58.0</v>
      </c>
      <c r="I153" s="2">
        <v>4859.0</v>
      </c>
      <c r="J153" s="2">
        <f t="shared" si="1"/>
        <v>0</v>
      </c>
      <c r="K153" s="2">
        <f t="shared" si="2"/>
        <v>0</v>
      </c>
      <c r="L153" s="2">
        <f t="shared" si="3"/>
        <v>0</v>
      </c>
      <c r="M153" s="2">
        <f t="shared" si="4"/>
        <v>0.1813860395</v>
      </c>
    </row>
    <row r="154" ht="15.75" customHeight="1">
      <c r="A154" s="3">
        <v>44946.0</v>
      </c>
      <c r="B154" s="2" t="s">
        <v>14</v>
      </c>
      <c r="C154" s="2" t="s">
        <v>15</v>
      </c>
      <c r="D154" s="2" t="s">
        <v>28</v>
      </c>
      <c r="E154" s="2">
        <v>9305.0</v>
      </c>
      <c r="F154" s="2">
        <v>744.4</v>
      </c>
      <c r="G154" s="2">
        <v>334.98</v>
      </c>
      <c r="H154" s="2">
        <v>112.0</v>
      </c>
      <c r="I154" s="2">
        <v>1303.0</v>
      </c>
      <c r="J154" s="2">
        <f t="shared" si="1"/>
        <v>0.45</v>
      </c>
      <c r="K154" s="2">
        <f t="shared" si="2"/>
        <v>0.45</v>
      </c>
      <c r="L154" s="2">
        <f t="shared" si="3"/>
        <v>36</v>
      </c>
      <c r="M154" s="2">
        <f t="shared" si="4"/>
        <v>0.1504567437</v>
      </c>
    </row>
    <row r="155" ht="15.75" customHeight="1">
      <c r="A155" s="3">
        <v>44946.0</v>
      </c>
      <c r="B155" s="2" t="s">
        <v>14</v>
      </c>
      <c r="C155" s="2" t="s">
        <v>17</v>
      </c>
      <c r="D155" s="2" t="s">
        <v>19</v>
      </c>
      <c r="E155" s="2">
        <v>10709.0</v>
      </c>
      <c r="F155" s="2">
        <v>535.45</v>
      </c>
      <c r="G155" s="2">
        <v>808.5295000000001</v>
      </c>
      <c r="H155" s="2">
        <v>54.0</v>
      </c>
      <c r="I155" s="2">
        <v>275.0</v>
      </c>
      <c r="J155" s="2">
        <f t="shared" si="1"/>
        <v>1.51</v>
      </c>
      <c r="K155" s="2">
        <f t="shared" si="2"/>
        <v>1.51</v>
      </c>
      <c r="L155" s="2">
        <f t="shared" si="3"/>
        <v>75.5</v>
      </c>
      <c r="M155" s="2">
        <f t="shared" si="4"/>
        <v>0.1008497525</v>
      </c>
    </row>
    <row r="156" ht="15.75" customHeight="1">
      <c r="A156" s="3">
        <v>44946.0</v>
      </c>
      <c r="B156" s="2" t="s">
        <v>20</v>
      </c>
      <c r="C156" s="2" t="s">
        <v>21</v>
      </c>
      <c r="D156" s="2" t="s">
        <v>16</v>
      </c>
      <c r="E156" s="2">
        <v>2761.0</v>
      </c>
      <c r="F156" s="2">
        <v>276.1</v>
      </c>
      <c r="G156" s="2">
        <v>521.8290000000001</v>
      </c>
      <c r="H156" s="2">
        <v>47.0</v>
      </c>
      <c r="I156" s="2">
        <v>4085.0</v>
      </c>
      <c r="J156" s="2">
        <f t="shared" si="1"/>
        <v>1.89</v>
      </c>
      <c r="K156" s="2">
        <f t="shared" si="2"/>
        <v>1.89</v>
      </c>
      <c r="L156" s="2">
        <f t="shared" si="3"/>
        <v>189</v>
      </c>
      <c r="M156" s="2">
        <f t="shared" si="4"/>
        <v>0.1702281782</v>
      </c>
    </row>
    <row r="157" ht="15.75" customHeight="1">
      <c r="A157" s="3">
        <v>44946.0</v>
      </c>
      <c r="B157" s="2" t="s">
        <v>20</v>
      </c>
      <c r="C157" s="2" t="s">
        <v>23</v>
      </c>
      <c r="D157" s="2" t="s">
        <v>19</v>
      </c>
      <c r="E157" s="2">
        <v>5854.0</v>
      </c>
      <c r="F157" s="2">
        <v>175.62</v>
      </c>
      <c r="G157" s="2">
        <v>119.42160000000001</v>
      </c>
      <c r="H157" s="2">
        <v>33.0</v>
      </c>
      <c r="I157" s="2">
        <v>4752.0</v>
      </c>
      <c r="J157" s="2">
        <f t="shared" si="1"/>
        <v>0.68</v>
      </c>
      <c r="K157" s="2">
        <f t="shared" si="2"/>
        <v>0.68</v>
      </c>
      <c r="L157" s="2">
        <f t="shared" si="3"/>
        <v>20.4</v>
      </c>
      <c r="M157" s="2">
        <f t="shared" si="4"/>
        <v>0.1879057055</v>
      </c>
    </row>
    <row r="158" ht="15.75" customHeight="1">
      <c r="A158" s="3">
        <v>44946.0</v>
      </c>
      <c r="B158" s="2" t="s">
        <v>26</v>
      </c>
      <c r="C158" s="2" t="s">
        <v>27</v>
      </c>
      <c r="D158" s="2" t="s">
        <v>32</v>
      </c>
      <c r="E158" s="2">
        <v>8998.0</v>
      </c>
      <c r="F158" s="2">
        <v>269.94</v>
      </c>
      <c r="G158" s="2">
        <v>151.1664</v>
      </c>
      <c r="H158" s="2">
        <v>46.0</v>
      </c>
      <c r="I158" s="2">
        <v>4770.0</v>
      </c>
      <c r="J158" s="2">
        <f t="shared" si="1"/>
        <v>0.56</v>
      </c>
      <c r="K158" s="2">
        <f t="shared" si="2"/>
        <v>0.56</v>
      </c>
      <c r="L158" s="2">
        <f t="shared" si="3"/>
        <v>16.8</v>
      </c>
      <c r="M158" s="2">
        <f t="shared" si="4"/>
        <v>0.1704082389</v>
      </c>
    </row>
    <row r="159" ht="15.75" customHeight="1">
      <c r="A159" s="3">
        <v>44946.0</v>
      </c>
      <c r="B159" s="2" t="s">
        <v>26</v>
      </c>
      <c r="C159" s="2" t="s">
        <v>31</v>
      </c>
      <c r="D159" s="2" t="s">
        <v>18</v>
      </c>
      <c r="E159" s="2">
        <v>9535.0</v>
      </c>
      <c r="F159" s="2">
        <v>286.05</v>
      </c>
      <c r="G159" s="2">
        <v>409.0515</v>
      </c>
      <c r="H159" s="2">
        <v>49.0</v>
      </c>
      <c r="I159" s="2">
        <v>4910.0</v>
      </c>
      <c r="J159" s="2">
        <f t="shared" si="1"/>
        <v>1.43</v>
      </c>
      <c r="K159" s="2">
        <f t="shared" si="2"/>
        <v>1.43</v>
      </c>
      <c r="L159" s="2">
        <f t="shared" si="3"/>
        <v>42.9</v>
      </c>
      <c r="M159" s="2">
        <f t="shared" si="4"/>
        <v>0.171298724</v>
      </c>
    </row>
    <row r="160" ht="15.75" customHeight="1">
      <c r="A160" s="3">
        <v>44946.0</v>
      </c>
      <c r="B160" s="2" t="s">
        <v>33</v>
      </c>
      <c r="C160" s="2" t="s">
        <v>34</v>
      </c>
      <c r="D160" s="2" t="s">
        <v>24</v>
      </c>
      <c r="E160" s="2">
        <v>3232.0</v>
      </c>
      <c r="F160" s="2">
        <v>64.64</v>
      </c>
      <c r="G160" s="2">
        <v>0.0</v>
      </c>
      <c r="H160" s="2">
        <v>5.0</v>
      </c>
      <c r="I160" s="2">
        <v>4516.0</v>
      </c>
      <c r="J160" s="2">
        <f t="shared" si="1"/>
        <v>0</v>
      </c>
      <c r="K160" s="2">
        <f t="shared" si="2"/>
        <v>0</v>
      </c>
      <c r="L160" s="2">
        <f t="shared" si="3"/>
        <v>0</v>
      </c>
      <c r="M160" s="2">
        <f t="shared" si="4"/>
        <v>0.07735148515</v>
      </c>
    </row>
    <row r="161" ht="15.75" customHeight="1">
      <c r="A161" s="3">
        <v>44946.0</v>
      </c>
      <c r="B161" s="2" t="s">
        <v>33</v>
      </c>
      <c r="C161" s="2" t="s">
        <v>35</v>
      </c>
      <c r="D161" s="2" t="s">
        <v>25</v>
      </c>
      <c r="E161" s="2">
        <v>4371.0</v>
      </c>
      <c r="F161" s="2">
        <v>131.13</v>
      </c>
      <c r="G161" s="2">
        <v>0.0</v>
      </c>
      <c r="H161" s="2">
        <v>12.0</v>
      </c>
      <c r="I161" s="2">
        <v>2604.0</v>
      </c>
      <c r="J161" s="2">
        <f t="shared" si="1"/>
        <v>0</v>
      </c>
      <c r="K161" s="2">
        <f t="shared" si="2"/>
        <v>0</v>
      </c>
      <c r="L161" s="2">
        <f t="shared" si="3"/>
        <v>0</v>
      </c>
      <c r="M161" s="2">
        <f t="shared" si="4"/>
        <v>0.09151223976</v>
      </c>
    </row>
    <row r="162" ht="15.75" customHeight="1">
      <c r="A162" s="3">
        <v>44947.0</v>
      </c>
      <c r="B162" s="2" t="s">
        <v>14</v>
      </c>
      <c r="C162" s="2" t="s">
        <v>15</v>
      </c>
      <c r="D162" s="2" t="s">
        <v>24</v>
      </c>
      <c r="E162" s="2">
        <v>5736.0</v>
      </c>
      <c r="F162" s="2">
        <v>401.52000000000004</v>
      </c>
      <c r="G162" s="2">
        <v>646.4472000000001</v>
      </c>
      <c r="H162" s="2">
        <v>40.0</v>
      </c>
      <c r="I162" s="2">
        <v>2738.0</v>
      </c>
      <c r="J162" s="2">
        <f t="shared" si="1"/>
        <v>1.61</v>
      </c>
      <c r="K162" s="2">
        <f t="shared" si="2"/>
        <v>1.61</v>
      </c>
      <c r="L162" s="2">
        <f t="shared" si="3"/>
        <v>112.7</v>
      </c>
      <c r="M162" s="2">
        <f t="shared" si="4"/>
        <v>0.09962143853</v>
      </c>
    </row>
    <row r="163" ht="15.75" customHeight="1">
      <c r="A163" s="3">
        <v>44947.0</v>
      </c>
      <c r="B163" s="2" t="s">
        <v>14</v>
      </c>
      <c r="C163" s="2" t="s">
        <v>17</v>
      </c>
      <c r="D163" s="2" t="s">
        <v>30</v>
      </c>
      <c r="E163" s="2">
        <v>9809.0</v>
      </c>
      <c r="F163" s="2">
        <v>686.6300000000001</v>
      </c>
      <c r="G163" s="2">
        <v>219.72160000000005</v>
      </c>
      <c r="H163" s="2">
        <v>130.0</v>
      </c>
      <c r="I163" s="2">
        <v>4031.0</v>
      </c>
      <c r="J163" s="2">
        <f t="shared" si="1"/>
        <v>0.32</v>
      </c>
      <c r="K163" s="2">
        <f t="shared" si="2"/>
        <v>0.32</v>
      </c>
      <c r="L163" s="2">
        <f t="shared" si="3"/>
        <v>22.4</v>
      </c>
      <c r="M163" s="2">
        <f t="shared" si="4"/>
        <v>0.1893304982</v>
      </c>
    </row>
    <row r="164" ht="15.75" customHeight="1">
      <c r="A164" s="3">
        <v>44947.0</v>
      </c>
      <c r="B164" s="2" t="s">
        <v>20</v>
      </c>
      <c r="C164" s="2" t="s">
        <v>21</v>
      </c>
      <c r="D164" s="2" t="s">
        <v>18</v>
      </c>
      <c r="E164" s="2">
        <v>4038.0</v>
      </c>
      <c r="F164" s="2">
        <v>282.66</v>
      </c>
      <c r="G164" s="2">
        <v>135.67680000000001</v>
      </c>
      <c r="H164" s="2">
        <v>45.0</v>
      </c>
      <c r="I164" s="2">
        <v>4665.0</v>
      </c>
      <c r="J164" s="2">
        <f t="shared" si="1"/>
        <v>0.48</v>
      </c>
      <c r="K164" s="2">
        <f t="shared" si="2"/>
        <v>0.48</v>
      </c>
      <c r="L164" s="2">
        <f t="shared" si="3"/>
        <v>33.6</v>
      </c>
      <c r="M164" s="2">
        <f t="shared" si="4"/>
        <v>0.159201868</v>
      </c>
    </row>
    <row r="165" ht="15.75" customHeight="1">
      <c r="A165" s="3">
        <v>44947.0</v>
      </c>
      <c r="B165" s="2" t="s">
        <v>20</v>
      </c>
      <c r="C165" s="2" t="s">
        <v>23</v>
      </c>
      <c r="D165" s="2" t="s">
        <v>24</v>
      </c>
      <c r="E165" s="2">
        <v>4341.0</v>
      </c>
      <c r="F165" s="2">
        <v>173.64000000000001</v>
      </c>
      <c r="G165" s="2">
        <v>86.82000000000001</v>
      </c>
      <c r="H165" s="2">
        <v>30.0</v>
      </c>
      <c r="I165" s="2">
        <v>4650.0</v>
      </c>
      <c r="J165" s="2">
        <f t="shared" si="1"/>
        <v>0.5</v>
      </c>
      <c r="K165" s="2">
        <f t="shared" si="2"/>
        <v>0.5</v>
      </c>
      <c r="L165" s="2">
        <f t="shared" si="3"/>
        <v>20</v>
      </c>
      <c r="M165" s="2">
        <f t="shared" si="4"/>
        <v>0.1727712509</v>
      </c>
    </row>
    <row r="166" ht="15.75" customHeight="1">
      <c r="A166" s="3">
        <v>44947.0</v>
      </c>
      <c r="B166" s="2" t="s">
        <v>26</v>
      </c>
      <c r="C166" s="2" t="s">
        <v>27</v>
      </c>
      <c r="D166" s="2" t="s">
        <v>24</v>
      </c>
      <c r="E166" s="2">
        <v>9251.0</v>
      </c>
      <c r="F166" s="2">
        <v>740.08</v>
      </c>
      <c r="G166" s="2">
        <v>599.4648000000001</v>
      </c>
      <c r="H166" s="2">
        <v>141.0</v>
      </c>
      <c r="I166" s="2">
        <v>4416.0</v>
      </c>
      <c r="J166" s="2">
        <f t="shared" si="1"/>
        <v>0.81</v>
      </c>
      <c r="K166" s="2">
        <f t="shared" si="2"/>
        <v>0.81</v>
      </c>
      <c r="L166" s="2">
        <f t="shared" si="3"/>
        <v>64.8</v>
      </c>
      <c r="M166" s="2">
        <f t="shared" si="4"/>
        <v>0.1905199438</v>
      </c>
    </row>
    <row r="167" ht="15.75" customHeight="1">
      <c r="A167" s="3">
        <v>44947.0</v>
      </c>
      <c r="B167" s="2" t="s">
        <v>26</v>
      </c>
      <c r="C167" s="2" t="s">
        <v>31</v>
      </c>
      <c r="D167" s="2" t="s">
        <v>19</v>
      </c>
      <c r="E167" s="2">
        <v>10896.0</v>
      </c>
      <c r="F167" s="2">
        <v>435.84000000000003</v>
      </c>
      <c r="G167" s="2">
        <v>762.72</v>
      </c>
      <c r="H167" s="2">
        <v>35.0</v>
      </c>
      <c r="I167" s="2">
        <v>4559.0</v>
      </c>
      <c r="J167" s="2">
        <f t="shared" si="1"/>
        <v>1.75</v>
      </c>
      <c r="K167" s="2">
        <f t="shared" si="2"/>
        <v>1.75</v>
      </c>
      <c r="L167" s="2">
        <f t="shared" si="3"/>
        <v>70</v>
      </c>
      <c r="M167" s="2">
        <f t="shared" si="4"/>
        <v>0.08030469897</v>
      </c>
    </row>
    <row r="168" ht="15.75" customHeight="1">
      <c r="A168" s="3">
        <v>44947.0</v>
      </c>
      <c r="B168" s="2" t="s">
        <v>33</v>
      </c>
      <c r="C168" s="2" t="s">
        <v>34</v>
      </c>
      <c r="D168" s="2" t="s">
        <v>18</v>
      </c>
      <c r="E168" s="2">
        <v>3083.0</v>
      </c>
      <c r="F168" s="2">
        <v>215.81000000000003</v>
      </c>
      <c r="G168" s="2">
        <v>0.0</v>
      </c>
      <c r="H168" s="2">
        <v>13.0</v>
      </c>
      <c r="I168" s="2">
        <v>4234.0</v>
      </c>
      <c r="J168" s="2">
        <f t="shared" si="1"/>
        <v>0</v>
      </c>
      <c r="K168" s="2">
        <f t="shared" si="2"/>
        <v>0</v>
      </c>
      <c r="L168" s="2">
        <f t="shared" si="3"/>
        <v>0</v>
      </c>
      <c r="M168" s="2">
        <f t="shared" si="4"/>
        <v>0.06023817247</v>
      </c>
    </row>
    <row r="169" ht="15.75" customHeight="1">
      <c r="A169" s="3">
        <v>44947.0</v>
      </c>
      <c r="B169" s="2" t="s">
        <v>33</v>
      </c>
      <c r="C169" s="2" t="s">
        <v>35</v>
      </c>
      <c r="D169" s="2" t="s">
        <v>24</v>
      </c>
      <c r="E169" s="2">
        <v>5327.0</v>
      </c>
      <c r="F169" s="2">
        <v>319.62</v>
      </c>
      <c r="G169" s="2">
        <v>0.0</v>
      </c>
      <c r="H169" s="2">
        <v>19.0</v>
      </c>
      <c r="I169" s="2">
        <v>2465.0</v>
      </c>
      <c r="J169" s="2">
        <f t="shared" si="1"/>
        <v>0</v>
      </c>
      <c r="K169" s="2">
        <f t="shared" si="2"/>
        <v>0</v>
      </c>
      <c r="L169" s="2">
        <f t="shared" si="3"/>
        <v>0</v>
      </c>
      <c r="M169" s="2">
        <f t="shared" si="4"/>
        <v>0.05944559164</v>
      </c>
    </row>
    <row r="170" ht="15.75" customHeight="1">
      <c r="A170" s="3">
        <v>44948.0</v>
      </c>
      <c r="B170" s="2" t="s">
        <v>14</v>
      </c>
      <c r="C170" s="2" t="s">
        <v>15</v>
      </c>
      <c r="D170" s="2" t="s">
        <v>30</v>
      </c>
      <c r="E170" s="2">
        <v>8142.0</v>
      </c>
      <c r="F170" s="2">
        <v>325.68</v>
      </c>
      <c r="G170" s="2">
        <v>628.5624</v>
      </c>
      <c r="H170" s="2">
        <v>59.0</v>
      </c>
      <c r="I170" s="2">
        <v>1518.0</v>
      </c>
      <c r="J170" s="2">
        <f t="shared" si="1"/>
        <v>1.93</v>
      </c>
      <c r="K170" s="2">
        <f t="shared" si="2"/>
        <v>1.93</v>
      </c>
      <c r="L170" s="2">
        <f t="shared" si="3"/>
        <v>77.2</v>
      </c>
      <c r="M170" s="2">
        <f t="shared" si="4"/>
        <v>0.1811594203</v>
      </c>
    </row>
    <row r="171" ht="15.75" customHeight="1">
      <c r="A171" s="3">
        <v>44948.0</v>
      </c>
      <c r="B171" s="2" t="s">
        <v>14</v>
      </c>
      <c r="C171" s="2" t="s">
        <v>17</v>
      </c>
      <c r="D171" s="2" t="s">
        <v>19</v>
      </c>
      <c r="E171" s="2">
        <v>10005.0</v>
      </c>
      <c r="F171" s="2">
        <v>900.4499999999999</v>
      </c>
      <c r="G171" s="2">
        <v>342.171</v>
      </c>
      <c r="H171" s="2">
        <v>45.0</v>
      </c>
      <c r="I171" s="2">
        <v>603.0</v>
      </c>
      <c r="J171" s="2">
        <f t="shared" si="1"/>
        <v>0.38</v>
      </c>
      <c r="K171" s="2">
        <f t="shared" si="2"/>
        <v>0.38</v>
      </c>
      <c r="L171" s="2">
        <f t="shared" si="3"/>
        <v>34.2</v>
      </c>
      <c r="M171" s="2">
        <f t="shared" si="4"/>
        <v>0.04997501249</v>
      </c>
    </row>
    <row r="172" ht="15.75" customHeight="1">
      <c r="A172" s="3">
        <v>44948.0</v>
      </c>
      <c r="B172" s="2" t="s">
        <v>20</v>
      </c>
      <c r="C172" s="2" t="s">
        <v>21</v>
      </c>
      <c r="D172" s="2" t="s">
        <v>24</v>
      </c>
      <c r="E172" s="2">
        <v>4096.0</v>
      </c>
      <c r="F172" s="2">
        <v>204.8</v>
      </c>
      <c r="G172" s="2">
        <v>237.56799999999998</v>
      </c>
      <c r="H172" s="2">
        <v>27.0</v>
      </c>
      <c r="I172" s="2">
        <v>2282.0</v>
      </c>
      <c r="J172" s="2">
        <f t="shared" si="1"/>
        <v>1.16</v>
      </c>
      <c r="K172" s="2">
        <f t="shared" si="2"/>
        <v>1.16</v>
      </c>
      <c r="L172" s="2">
        <f t="shared" si="3"/>
        <v>58</v>
      </c>
      <c r="M172" s="2">
        <f t="shared" si="4"/>
        <v>0.1318359375</v>
      </c>
    </row>
    <row r="173" ht="15.75" customHeight="1">
      <c r="A173" s="3">
        <v>44948.0</v>
      </c>
      <c r="B173" s="2" t="s">
        <v>20</v>
      </c>
      <c r="C173" s="2" t="s">
        <v>23</v>
      </c>
      <c r="D173" s="2" t="s">
        <v>28</v>
      </c>
      <c r="E173" s="2">
        <v>2007.0</v>
      </c>
      <c r="F173" s="2">
        <v>40.14</v>
      </c>
      <c r="G173" s="2">
        <v>48.9708</v>
      </c>
      <c r="H173" s="2">
        <v>6.0</v>
      </c>
      <c r="I173" s="2">
        <v>4995.0</v>
      </c>
      <c r="J173" s="2">
        <f t="shared" si="1"/>
        <v>1.22</v>
      </c>
      <c r="K173" s="2">
        <f t="shared" si="2"/>
        <v>1.22</v>
      </c>
      <c r="L173" s="2">
        <f t="shared" si="3"/>
        <v>24.4</v>
      </c>
      <c r="M173" s="2">
        <f t="shared" si="4"/>
        <v>0.1494768311</v>
      </c>
    </row>
    <row r="174" ht="15.75" customHeight="1">
      <c r="A174" s="3">
        <v>44948.0</v>
      </c>
      <c r="B174" s="2" t="s">
        <v>26</v>
      </c>
      <c r="C174" s="2" t="s">
        <v>27</v>
      </c>
      <c r="D174" s="2" t="s">
        <v>16</v>
      </c>
      <c r="E174" s="2">
        <v>10695.0</v>
      </c>
      <c r="F174" s="2">
        <v>855.6</v>
      </c>
      <c r="G174" s="2">
        <v>770.0400000000001</v>
      </c>
      <c r="H174" s="2">
        <v>51.0</v>
      </c>
      <c r="I174" s="2">
        <v>3098.0</v>
      </c>
      <c r="J174" s="2">
        <f t="shared" si="1"/>
        <v>0.9</v>
      </c>
      <c r="K174" s="2">
        <f t="shared" si="2"/>
        <v>0.9</v>
      </c>
      <c r="L174" s="2">
        <f t="shared" si="3"/>
        <v>72</v>
      </c>
      <c r="M174" s="2">
        <f t="shared" si="4"/>
        <v>0.05960729313</v>
      </c>
    </row>
    <row r="175" ht="15.75" customHeight="1">
      <c r="A175" s="3">
        <v>44948.0</v>
      </c>
      <c r="B175" s="2" t="s">
        <v>26</v>
      </c>
      <c r="C175" s="2" t="s">
        <v>31</v>
      </c>
      <c r="D175" s="2" t="s">
        <v>22</v>
      </c>
      <c r="E175" s="2">
        <v>13678.0</v>
      </c>
      <c r="F175" s="2">
        <v>1231.02</v>
      </c>
      <c r="G175" s="2">
        <v>1538.775</v>
      </c>
      <c r="H175" s="2">
        <v>209.0</v>
      </c>
      <c r="I175" s="2">
        <v>788.0</v>
      </c>
      <c r="J175" s="2">
        <f t="shared" si="1"/>
        <v>1.25</v>
      </c>
      <c r="K175" s="2">
        <f t="shared" si="2"/>
        <v>1.25</v>
      </c>
      <c r="L175" s="2">
        <f t="shared" si="3"/>
        <v>112.5</v>
      </c>
      <c r="M175" s="2">
        <f t="shared" si="4"/>
        <v>0.1697779078</v>
      </c>
    </row>
    <row r="176" ht="15.75" customHeight="1">
      <c r="A176" s="3">
        <v>44948.0</v>
      </c>
      <c r="B176" s="2" t="s">
        <v>33</v>
      </c>
      <c r="C176" s="2" t="s">
        <v>34</v>
      </c>
      <c r="D176" s="2" t="s">
        <v>16</v>
      </c>
      <c r="E176" s="2">
        <v>4691.0</v>
      </c>
      <c r="F176" s="2">
        <v>140.73</v>
      </c>
      <c r="G176" s="2">
        <v>0.0</v>
      </c>
      <c r="H176" s="2">
        <v>17.0</v>
      </c>
      <c r="I176" s="2">
        <v>3851.0</v>
      </c>
      <c r="J176" s="2">
        <f t="shared" si="1"/>
        <v>0</v>
      </c>
      <c r="K176" s="2">
        <f t="shared" si="2"/>
        <v>0</v>
      </c>
      <c r="L176" s="2">
        <f t="shared" si="3"/>
        <v>0</v>
      </c>
      <c r="M176" s="2">
        <f t="shared" si="4"/>
        <v>0.1207986925</v>
      </c>
    </row>
    <row r="177" ht="15.75" customHeight="1">
      <c r="A177" s="3">
        <v>44948.0</v>
      </c>
      <c r="B177" s="2" t="s">
        <v>33</v>
      </c>
      <c r="C177" s="2" t="s">
        <v>35</v>
      </c>
      <c r="D177" s="2" t="s">
        <v>24</v>
      </c>
      <c r="E177" s="2">
        <v>2262.0</v>
      </c>
      <c r="F177" s="2">
        <v>226.20000000000002</v>
      </c>
      <c r="G177" s="2">
        <v>0.0</v>
      </c>
      <c r="H177" s="2">
        <v>43.0</v>
      </c>
      <c r="I177" s="2">
        <v>3296.0</v>
      </c>
      <c r="J177" s="2">
        <f t="shared" si="1"/>
        <v>0</v>
      </c>
      <c r="K177" s="2">
        <f t="shared" si="2"/>
        <v>0</v>
      </c>
      <c r="L177" s="2">
        <f t="shared" si="3"/>
        <v>0</v>
      </c>
      <c r="M177" s="2">
        <f t="shared" si="4"/>
        <v>0.1900972591</v>
      </c>
    </row>
    <row r="178" ht="15.75" customHeight="1">
      <c r="A178" s="3">
        <v>44949.0</v>
      </c>
      <c r="B178" s="2" t="s">
        <v>14</v>
      </c>
      <c r="C178" s="2" t="s">
        <v>15</v>
      </c>
      <c r="D178" s="2" t="s">
        <v>28</v>
      </c>
      <c r="E178" s="2">
        <v>9077.0</v>
      </c>
      <c r="F178" s="2">
        <v>272.31</v>
      </c>
      <c r="G178" s="2">
        <v>294.0948</v>
      </c>
      <c r="H178" s="2">
        <v>38.0</v>
      </c>
      <c r="I178" s="2">
        <v>4738.0</v>
      </c>
      <c r="J178" s="2">
        <f t="shared" si="1"/>
        <v>1.08</v>
      </c>
      <c r="K178" s="2">
        <f t="shared" si="2"/>
        <v>1.08</v>
      </c>
      <c r="L178" s="2">
        <f t="shared" si="3"/>
        <v>32.4</v>
      </c>
      <c r="M178" s="2">
        <f t="shared" si="4"/>
        <v>0.13954684</v>
      </c>
    </row>
    <row r="179" ht="15.75" customHeight="1">
      <c r="A179" s="3">
        <v>44949.0</v>
      </c>
      <c r="B179" s="2" t="s">
        <v>14</v>
      </c>
      <c r="C179" s="2" t="s">
        <v>17</v>
      </c>
      <c r="D179" s="2" t="s">
        <v>24</v>
      </c>
      <c r="E179" s="2">
        <v>7460.0</v>
      </c>
      <c r="F179" s="2">
        <v>746.0</v>
      </c>
      <c r="G179" s="2">
        <v>440.14</v>
      </c>
      <c r="H179" s="2">
        <v>75.0</v>
      </c>
      <c r="I179" s="2">
        <v>3905.0</v>
      </c>
      <c r="J179" s="2">
        <f t="shared" si="1"/>
        <v>0.59</v>
      </c>
      <c r="K179" s="2">
        <f t="shared" si="2"/>
        <v>0.59</v>
      </c>
      <c r="L179" s="2">
        <f t="shared" si="3"/>
        <v>59</v>
      </c>
      <c r="M179" s="2">
        <f t="shared" si="4"/>
        <v>0.100536193</v>
      </c>
    </row>
    <row r="180" ht="15.75" customHeight="1">
      <c r="A180" s="3">
        <v>44949.0</v>
      </c>
      <c r="B180" s="2" t="s">
        <v>20</v>
      </c>
      <c r="C180" s="2" t="s">
        <v>21</v>
      </c>
      <c r="D180" s="2" t="s">
        <v>22</v>
      </c>
      <c r="E180" s="2">
        <v>4533.0</v>
      </c>
      <c r="F180" s="2">
        <v>317.31</v>
      </c>
      <c r="G180" s="2">
        <v>187.2129</v>
      </c>
      <c r="H180" s="2">
        <v>16.0</v>
      </c>
      <c r="I180" s="2">
        <v>1831.0</v>
      </c>
      <c r="J180" s="2">
        <f t="shared" si="1"/>
        <v>0.59</v>
      </c>
      <c r="K180" s="2">
        <f t="shared" si="2"/>
        <v>0.59</v>
      </c>
      <c r="L180" s="2">
        <f t="shared" si="3"/>
        <v>41.3</v>
      </c>
      <c r="M180" s="2">
        <f t="shared" si="4"/>
        <v>0.05042387571</v>
      </c>
    </row>
    <row r="181" ht="15.75" customHeight="1">
      <c r="A181" s="3">
        <v>44949.0</v>
      </c>
      <c r="B181" s="2" t="s">
        <v>20</v>
      </c>
      <c r="C181" s="2" t="s">
        <v>23</v>
      </c>
      <c r="D181" s="2" t="s">
        <v>16</v>
      </c>
      <c r="E181" s="2">
        <v>2671.0</v>
      </c>
      <c r="F181" s="2">
        <v>240.39</v>
      </c>
      <c r="G181" s="2">
        <v>288.46799999999996</v>
      </c>
      <c r="H181" s="2">
        <v>38.0</v>
      </c>
      <c r="I181" s="2">
        <v>172.0</v>
      </c>
      <c r="J181" s="2">
        <f t="shared" si="1"/>
        <v>1.2</v>
      </c>
      <c r="K181" s="2">
        <f t="shared" si="2"/>
        <v>1.2</v>
      </c>
      <c r="L181" s="2">
        <f t="shared" si="3"/>
        <v>108</v>
      </c>
      <c r="M181" s="2">
        <f t="shared" si="4"/>
        <v>0.1580764591</v>
      </c>
    </row>
    <row r="182" ht="15.75" customHeight="1">
      <c r="A182" s="3">
        <v>44949.0</v>
      </c>
      <c r="B182" s="2" t="s">
        <v>26</v>
      </c>
      <c r="C182" s="2" t="s">
        <v>27</v>
      </c>
      <c r="D182" s="2" t="s">
        <v>32</v>
      </c>
      <c r="E182" s="2">
        <v>14390.0</v>
      </c>
      <c r="F182" s="2">
        <v>1439.0</v>
      </c>
      <c r="G182" s="2">
        <v>949.74</v>
      </c>
      <c r="H182" s="2">
        <v>273.0</v>
      </c>
      <c r="I182" s="2">
        <v>2629.0</v>
      </c>
      <c r="J182" s="2">
        <f t="shared" si="1"/>
        <v>0.66</v>
      </c>
      <c r="K182" s="2">
        <f t="shared" si="2"/>
        <v>0.66</v>
      </c>
      <c r="L182" s="2">
        <f t="shared" si="3"/>
        <v>66</v>
      </c>
      <c r="M182" s="2">
        <f t="shared" si="4"/>
        <v>0.1897150799</v>
      </c>
    </row>
    <row r="183" ht="15.75" customHeight="1">
      <c r="A183" s="3">
        <v>44949.0</v>
      </c>
      <c r="B183" s="2" t="s">
        <v>26</v>
      </c>
      <c r="C183" s="2" t="s">
        <v>31</v>
      </c>
      <c r="D183" s="2" t="s">
        <v>32</v>
      </c>
      <c r="E183" s="2">
        <v>11243.0</v>
      </c>
      <c r="F183" s="2">
        <v>899.44</v>
      </c>
      <c r="G183" s="2">
        <v>593.6304</v>
      </c>
      <c r="H183" s="2">
        <v>126.0</v>
      </c>
      <c r="I183" s="2">
        <v>2629.0</v>
      </c>
      <c r="J183" s="2">
        <f t="shared" si="1"/>
        <v>0.66</v>
      </c>
      <c r="K183" s="2">
        <f t="shared" si="2"/>
        <v>0.66</v>
      </c>
      <c r="L183" s="2">
        <f t="shared" si="3"/>
        <v>52.8</v>
      </c>
      <c r="M183" s="2">
        <f t="shared" si="4"/>
        <v>0.1400871653</v>
      </c>
    </row>
    <row r="184" ht="15.75" customHeight="1">
      <c r="A184" s="3">
        <v>44949.0</v>
      </c>
      <c r="B184" s="2" t="s">
        <v>33</v>
      </c>
      <c r="C184" s="2" t="s">
        <v>34</v>
      </c>
      <c r="D184" s="2" t="s">
        <v>24</v>
      </c>
      <c r="E184" s="2">
        <v>5828.0</v>
      </c>
      <c r="F184" s="2">
        <v>116.56</v>
      </c>
      <c r="G184" s="2">
        <v>0.0</v>
      </c>
      <c r="H184" s="2">
        <v>14.0</v>
      </c>
      <c r="I184" s="2">
        <v>2163.0</v>
      </c>
      <c r="J184" s="2">
        <f t="shared" si="1"/>
        <v>0</v>
      </c>
      <c r="K184" s="2">
        <f t="shared" si="2"/>
        <v>0</v>
      </c>
      <c r="L184" s="2">
        <f t="shared" si="3"/>
        <v>0</v>
      </c>
      <c r="M184" s="2">
        <f t="shared" si="4"/>
        <v>0.1201098147</v>
      </c>
    </row>
    <row r="185" ht="15.75" customHeight="1">
      <c r="A185" s="3">
        <v>44949.0</v>
      </c>
      <c r="B185" s="2" t="s">
        <v>33</v>
      </c>
      <c r="C185" s="2" t="s">
        <v>35</v>
      </c>
      <c r="D185" s="2" t="s">
        <v>25</v>
      </c>
      <c r="E185" s="2">
        <v>2180.0</v>
      </c>
      <c r="F185" s="2">
        <v>109.0</v>
      </c>
      <c r="G185" s="2">
        <v>0.0</v>
      </c>
      <c r="H185" s="2">
        <v>16.0</v>
      </c>
      <c r="I185" s="2">
        <v>4065.0</v>
      </c>
      <c r="J185" s="2">
        <f t="shared" si="1"/>
        <v>0</v>
      </c>
      <c r="K185" s="2">
        <f t="shared" si="2"/>
        <v>0</v>
      </c>
      <c r="L185" s="2">
        <f t="shared" si="3"/>
        <v>0</v>
      </c>
      <c r="M185" s="2">
        <f t="shared" si="4"/>
        <v>0.1467889908</v>
      </c>
    </row>
    <row r="186" ht="15.75" customHeight="1">
      <c r="A186" s="3">
        <v>44950.0</v>
      </c>
      <c r="B186" s="2" t="s">
        <v>14</v>
      </c>
      <c r="C186" s="2" t="s">
        <v>15</v>
      </c>
      <c r="D186" s="2" t="s">
        <v>30</v>
      </c>
      <c r="E186" s="2">
        <v>7112.0</v>
      </c>
      <c r="F186" s="2">
        <v>711.2</v>
      </c>
      <c r="G186" s="2">
        <v>1201.928</v>
      </c>
      <c r="H186" s="2">
        <v>135.0</v>
      </c>
      <c r="I186" s="2">
        <v>3407.0</v>
      </c>
      <c r="J186" s="2">
        <f t="shared" si="1"/>
        <v>1.69</v>
      </c>
      <c r="K186" s="2">
        <f t="shared" si="2"/>
        <v>1.69</v>
      </c>
      <c r="L186" s="2">
        <f t="shared" si="3"/>
        <v>169</v>
      </c>
      <c r="M186" s="2">
        <f t="shared" si="4"/>
        <v>0.1898200225</v>
      </c>
    </row>
    <row r="187" ht="15.75" customHeight="1">
      <c r="A187" s="3">
        <v>44950.0</v>
      </c>
      <c r="B187" s="2" t="s">
        <v>14</v>
      </c>
      <c r="C187" s="2" t="s">
        <v>17</v>
      </c>
      <c r="D187" s="2" t="s">
        <v>32</v>
      </c>
      <c r="E187" s="2">
        <v>7969.0</v>
      </c>
      <c r="F187" s="2">
        <v>637.52</v>
      </c>
      <c r="G187" s="2">
        <v>1000.9064</v>
      </c>
      <c r="H187" s="2">
        <v>38.0</v>
      </c>
      <c r="I187" s="2">
        <v>4532.0</v>
      </c>
      <c r="J187" s="2">
        <f t="shared" si="1"/>
        <v>1.57</v>
      </c>
      <c r="K187" s="2">
        <f t="shared" si="2"/>
        <v>1.57</v>
      </c>
      <c r="L187" s="2">
        <f t="shared" si="3"/>
        <v>125.6</v>
      </c>
      <c r="M187" s="2">
        <f t="shared" si="4"/>
        <v>0.05960597315</v>
      </c>
    </row>
    <row r="188" ht="15.75" customHeight="1">
      <c r="A188" s="3">
        <v>44950.0</v>
      </c>
      <c r="B188" s="2" t="s">
        <v>20</v>
      </c>
      <c r="C188" s="2" t="s">
        <v>21</v>
      </c>
      <c r="D188" s="2" t="s">
        <v>32</v>
      </c>
      <c r="E188" s="2">
        <v>2745.0</v>
      </c>
      <c r="F188" s="2">
        <v>247.04999999999998</v>
      </c>
      <c r="G188" s="2">
        <v>165.52349999999998</v>
      </c>
      <c r="H188" s="2">
        <v>17.0</v>
      </c>
      <c r="I188" s="2">
        <v>2695.0</v>
      </c>
      <c r="J188" s="2">
        <f t="shared" si="1"/>
        <v>0.67</v>
      </c>
      <c r="K188" s="2">
        <f t="shared" si="2"/>
        <v>0.67</v>
      </c>
      <c r="L188" s="2">
        <f t="shared" si="3"/>
        <v>60.3</v>
      </c>
      <c r="M188" s="2">
        <f t="shared" si="4"/>
        <v>0.06881198138</v>
      </c>
    </row>
    <row r="189" ht="15.75" customHeight="1">
      <c r="A189" s="3">
        <v>44950.0</v>
      </c>
      <c r="B189" s="2" t="s">
        <v>20</v>
      </c>
      <c r="C189" s="2" t="s">
        <v>23</v>
      </c>
      <c r="D189" s="2" t="s">
        <v>24</v>
      </c>
      <c r="E189" s="2">
        <v>5280.0</v>
      </c>
      <c r="F189" s="2">
        <v>105.60000000000001</v>
      </c>
      <c r="G189" s="2">
        <v>62.304</v>
      </c>
      <c r="H189" s="2">
        <v>15.0</v>
      </c>
      <c r="I189" s="2">
        <v>4068.0</v>
      </c>
      <c r="J189" s="2">
        <f t="shared" si="1"/>
        <v>0.59</v>
      </c>
      <c r="K189" s="2">
        <f t="shared" si="2"/>
        <v>0.59</v>
      </c>
      <c r="L189" s="2">
        <f t="shared" si="3"/>
        <v>11.8</v>
      </c>
      <c r="M189" s="2">
        <f t="shared" si="4"/>
        <v>0.1420454545</v>
      </c>
    </row>
    <row r="190" ht="15.75" customHeight="1">
      <c r="A190" s="3">
        <v>44950.0</v>
      </c>
      <c r="B190" s="2" t="s">
        <v>26</v>
      </c>
      <c r="C190" s="2" t="s">
        <v>27</v>
      </c>
      <c r="D190" s="2" t="s">
        <v>30</v>
      </c>
      <c r="E190" s="2">
        <v>11082.0</v>
      </c>
      <c r="F190" s="2">
        <v>775.7400000000001</v>
      </c>
      <c r="G190" s="2">
        <v>783.4974000000001</v>
      </c>
      <c r="H190" s="2">
        <v>147.0</v>
      </c>
      <c r="I190" s="2">
        <v>2964.0</v>
      </c>
      <c r="J190" s="2">
        <f t="shared" si="1"/>
        <v>1.01</v>
      </c>
      <c r="K190" s="2">
        <f t="shared" si="2"/>
        <v>1.01</v>
      </c>
      <c r="L190" s="2">
        <f t="shared" si="3"/>
        <v>70.7</v>
      </c>
      <c r="M190" s="2">
        <f t="shared" si="4"/>
        <v>0.1894964808</v>
      </c>
    </row>
    <row r="191" ht="15.75" customHeight="1">
      <c r="A191" s="3">
        <v>44950.0</v>
      </c>
      <c r="B191" s="2" t="s">
        <v>26</v>
      </c>
      <c r="C191" s="2" t="s">
        <v>31</v>
      </c>
      <c r="D191" s="2" t="s">
        <v>24</v>
      </c>
      <c r="E191" s="2">
        <v>14786.0</v>
      </c>
      <c r="F191" s="2">
        <v>295.72</v>
      </c>
      <c r="G191" s="2">
        <v>351.90680000000003</v>
      </c>
      <c r="H191" s="2">
        <v>21.0</v>
      </c>
      <c r="I191" s="2">
        <v>919.0</v>
      </c>
      <c r="J191" s="2">
        <f t="shared" si="1"/>
        <v>1.19</v>
      </c>
      <c r="K191" s="2">
        <f t="shared" si="2"/>
        <v>1.19</v>
      </c>
      <c r="L191" s="2">
        <f t="shared" si="3"/>
        <v>23.8</v>
      </c>
      <c r="M191" s="2">
        <f t="shared" si="4"/>
        <v>0.07101312052</v>
      </c>
    </row>
    <row r="192" ht="15.75" customHeight="1">
      <c r="A192" s="3">
        <v>44950.0</v>
      </c>
      <c r="B192" s="2" t="s">
        <v>33</v>
      </c>
      <c r="C192" s="2" t="s">
        <v>34</v>
      </c>
      <c r="D192" s="2" t="s">
        <v>19</v>
      </c>
      <c r="E192" s="2">
        <v>4602.0</v>
      </c>
      <c r="F192" s="2">
        <v>138.06</v>
      </c>
      <c r="G192" s="2">
        <v>0.0</v>
      </c>
      <c r="H192" s="2">
        <v>22.0</v>
      </c>
      <c r="I192" s="2">
        <v>2656.0</v>
      </c>
      <c r="J192" s="2">
        <f t="shared" si="1"/>
        <v>0</v>
      </c>
      <c r="K192" s="2">
        <f t="shared" si="2"/>
        <v>0</v>
      </c>
      <c r="L192" s="2">
        <f t="shared" si="3"/>
        <v>0</v>
      </c>
      <c r="M192" s="2">
        <f t="shared" si="4"/>
        <v>0.1593510068</v>
      </c>
    </row>
    <row r="193" ht="15.75" customHeight="1">
      <c r="A193" s="3">
        <v>44950.0</v>
      </c>
      <c r="B193" s="2" t="s">
        <v>33</v>
      </c>
      <c r="C193" s="2" t="s">
        <v>35</v>
      </c>
      <c r="D193" s="2" t="s">
        <v>28</v>
      </c>
      <c r="E193" s="2">
        <v>3021.0</v>
      </c>
      <c r="F193" s="2">
        <v>241.68</v>
      </c>
      <c r="G193" s="2">
        <v>0.0</v>
      </c>
      <c r="H193" s="2">
        <v>48.0</v>
      </c>
      <c r="I193" s="2">
        <v>3379.0</v>
      </c>
      <c r="J193" s="2">
        <f t="shared" si="1"/>
        <v>0</v>
      </c>
      <c r="K193" s="2">
        <f t="shared" si="2"/>
        <v>0</v>
      </c>
      <c r="L193" s="2">
        <f t="shared" si="3"/>
        <v>0</v>
      </c>
      <c r="M193" s="2">
        <f t="shared" si="4"/>
        <v>0.1986097319</v>
      </c>
    </row>
    <row r="194" ht="15.75" customHeight="1">
      <c r="A194" s="3">
        <v>44951.0</v>
      </c>
      <c r="B194" s="2" t="s">
        <v>14</v>
      </c>
      <c r="C194" s="2" t="s">
        <v>15</v>
      </c>
      <c r="D194" s="2" t="s">
        <v>22</v>
      </c>
      <c r="E194" s="2">
        <v>9642.0</v>
      </c>
      <c r="F194" s="2">
        <v>482.1</v>
      </c>
      <c r="G194" s="2">
        <v>809.928</v>
      </c>
      <c r="H194" s="2">
        <v>58.0</v>
      </c>
      <c r="I194" s="2">
        <v>2435.0</v>
      </c>
      <c r="J194" s="2">
        <f t="shared" si="1"/>
        <v>1.68</v>
      </c>
      <c r="K194" s="2">
        <f t="shared" si="2"/>
        <v>1.68</v>
      </c>
      <c r="L194" s="2">
        <f t="shared" si="3"/>
        <v>84</v>
      </c>
      <c r="M194" s="2">
        <f t="shared" si="4"/>
        <v>0.1203069903</v>
      </c>
    </row>
    <row r="195" ht="15.75" customHeight="1">
      <c r="A195" s="3">
        <v>44951.0</v>
      </c>
      <c r="B195" s="2" t="s">
        <v>14</v>
      </c>
      <c r="C195" s="2" t="s">
        <v>17</v>
      </c>
      <c r="D195" s="2" t="s">
        <v>16</v>
      </c>
      <c r="E195" s="2">
        <v>8252.0</v>
      </c>
      <c r="F195" s="2">
        <v>247.56</v>
      </c>
      <c r="G195" s="2">
        <v>336.6816</v>
      </c>
      <c r="H195" s="2">
        <v>20.0</v>
      </c>
      <c r="I195" s="2">
        <v>387.0</v>
      </c>
      <c r="J195" s="2">
        <f t="shared" si="1"/>
        <v>1.36</v>
      </c>
      <c r="K195" s="2">
        <f t="shared" si="2"/>
        <v>1.36</v>
      </c>
      <c r="L195" s="2">
        <f t="shared" si="3"/>
        <v>40.8</v>
      </c>
      <c r="M195" s="2">
        <f t="shared" si="4"/>
        <v>0.08078849572</v>
      </c>
    </row>
    <row r="196" ht="15.75" customHeight="1">
      <c r="A196" s="3">
        <v>44951.0</v>
      </c>
      <c r="B196" s="2" t="s">
        <v>20</v>
      </c>
      <c r="C196" s="2" t="s">
        <v>21</v>
      </c>
      <c r="D196" s="2" t="s">
        <v>25</v>
      </c>
      <c r="E196" s="2">
        <v>5941.0</v>
      </c>
      <c r="F196" s="2">
        <v>297.05</v>
      </c>
      <c r="G196" s="2">
        <v>421.811</v>
      </c>
      <c r="H196" s="2">
        <v>50.0</v>
      </c>
      <c r="I196" s="2">
        <v>696.0</v>
      </c>
      <c r="J196" s="2">
        <f t="shared" si="1"/>
        <v>1.42</v>
      </c>
      <c r="K196" s="2">
        <f t="shared" si="2"/>
        <v>1.42</v>
      </c>
      <c r="L196" s="2">
        <f t="shared" si="3"/>
        <v>71</v>
      </c>
      <c r="M196" s="2">
        <f t="shared" si="4"/>
        <v>0.1683218313</v>
      </c>
    </row>
    <row r="197" ht="15.75" customHeight="1">
      <c r="A197" s="3">
        <v>44951.0</v>
      </c>
      <c r="B197" s="2" t="s">
        <v>20</v>
      </c>
      <c r="C197" s="2" t="s">
        <v>23</v>
      </c>
      <c r="D197" s="2" t="s">
        <v>16</v>
      </c>
      <c r="E197" s="2">
        <v>5917.0</v>
      </c>
      <c r="F197" s="2">
        <v>473.36</v>
      </c>
      <c r="G197" s="2">
        <v>610.6344</v>
      </c>
      <c r="H197" s="2">
        <v>71.0</v>
      </c>
      <c r="I197" s="2">
        <v>4392.0</v>
      </c>
      <c r="J197" s="2">
        <f t="shared" si="1"/>
        <v>1.29</v>
      </c>
      <c r="K197" s="2">
        <f t="shared" si="2"/>
        <v>1.29</v>
      </c>
      <c r="L197" s="2">
        <f t="shared" si="3"/>
        <v>103.2</v>
      </c>
      <c r="M197" s="2">
        <f t="shared" si="4"/>
        <v>0.1499915498</v>
      </c>
    </row>
    <row r="198" ht="15.75" customHeight="1">
      <c r="A198" s="3">
        <v>44951.0</v>
      </c>
      <c r="B198" s="2" t="s">
        <v>26</v>
      </c>
      <c r="C198" s="2" t="s">
        <v>27</v>
      </c>
      <c r="D198" s="2" t="s">
        <v>19</v>
      </c>
      <c r="E198" s="2">
        <v>11535.0</v>
      </c>
      <c r="F198" s="2">
        <v>807.45</v>
      </c>
      <c r="G198" s="2">
        <v>1299.9945000000002</v>
      </c>
      <c r="H198" s="2">
        <v>48.0</v>
      </c>
      <c r="I198" s="2">
        <v>4163.0</v>
      </c>
      <c r="J198" s="2">
        <f t="shared" si="1"/>
        <v>1.61</v>
      </c>
      <c r="K198" s="2">
        <f t="shared" si="2"/>
        <v>1.61</v>
      </c>
      <c r="L198" s="2">
        <f t="shared" si="3"/>
        <v>112.7</v>
      </c>
      <c r="M198" s="2">
        <f t="shared" si="4"/>
        <v>0.05944640535</v>
      </c>
    </row>
    <row r="199" ht="15.75" customHeight="1">
      <c r="A199" s="3">
        <v>44951.0</v>
      </c>
      <c r="B199" s="2" t="s">
        <v>26</v>
      </c>
      <c r="C199" s="2" t="s">
        <v>31</v>
      </c>
      <c r="D199" s="2" t="s">
        <v>24</v>
      </c>
      <c r="E199" s="2">
        <v>12325.0</v>
      </c>
      <c r="F199" s="2">
        <v>493.0</v>
      </c>
      <c r="G199" s="2">
        <v>902.19</v>
      </c>
      <c r="H199" s="2">
        <v>84.0</v>
      </c>
      <c r="I199" s="2">
        <v>1254.0</v>
      </c>
      <c r="J199" s="2">
        <f t="shared" si="1"/>
        <v>1.83</v>
      </c>
      <c r="K199" s="2">
        <f t="shared" si="2"/>
        <v>1.83</v>
      </c>
      <c r="L199" s="2">
        <f t="shared" si="3"/>
        <v>73.2</v>
      </c>
      <c r="M199" s="2">
        <f t="shared" si="4"/>
        <v>0.1703853955</v>
      </c>
    </row>
    <row r="200" ht="15.75" customHeight="1">
      <c r="A200" s="3">
        <v>44951.0</v>
      </c>
      <c r="B200" s="2" t="s">
        <v>33</v>
      </c>
      <c r="C200" s="2" t="s">
        <v>34</v>
      </c>
      <c r="D200" s="2" t="s">
        <v>28</v>
      </c>
      <c r="E200" s="2">
        <v>2254.0</v>
      </c>
      <c r="F200" s="2">
        <v>135.24</v>
      </c>
      <c r="G200" s="2">
        <v>0.0</v>
      </c>
      <c r="H200" s="2">
        <v>11.0</v>
      </c>
      <c r="I200" s="2">
        <v>903.0</v>
      </c>
      <c r="J200" s="2">
        <f t="shared" si="1"/>
        <v>0</v>
      </c>
      <c r="K200" s="2">
        <f t="shared" si="2"/>
        <v>0</v>
      </c>
      <c r="L200" s="2">
        <f t="shared" si="3"/>
        <v>0</v>
      </c>
      <c r="M200" s="2">
        <f t="shared" si="4"/>
        <v>0.08133688258</v>
      </c>
    </row>
    <row r="201" ht="15.75" customHeight="1">
      <c r="A201" s="3">
        <v>44951.0</v>
      </c>
      <c r="B201" s="2" t="s">
        <v>33</v>
      </c>
      <c r="C201" s="2" t="s">
        <v>35</v>
      </c>
      <c r="D201" s="2" t="s">
        <v>16</v>
      </c>
      <c r="E201" s="2">
        <v>3970.0</v>
      </c>
      <c r="F201" s="2">
        <v>277.90000000000003</v>
      </c>
      <c r="G201" s="2">
        <v>0.0</v>
      </c>
      <c r="H201" s="2">
        <v>17.0</v>
      </c>
      <c r="I201" s="2">
        <v>1127.0</v>
      </c>
      <c r="J201" s="2">
        <f t="shared" si="1"/>
        <v>0</v>
      </c>
      <c r="K201" s="2">
        <f t="shared" si="2"/>
        <v>0</v>
      </c>
      <c r="L201" s="2">
        <f t="shared" si="3"/>
        <v>0</v>
      </c>
      <c r="M201" s="2">
        <f t="shared" si="4"/>
        <v>0.06117308384</v>
      </c>
    </row>
    <row r="202" ht="15.75" customHeight="1">
      <c r="A202" s="3">
        <v>44952.0</v>
      </c>
      <c r="B202" s="2" t="s">
        <v>14</v>
      </c>
      <c r="C202" s="2" t="s">
        <v>15</v>
      </c>
      <c r="D202" s="2" t="s">
        <v>32</v>
      </c>
      <c r="E202" s="2">
        <v>5211.0</v>
      </c>
      <c r="F202" s="2">
        <v>364.77000000000004</v>
      </c>
      <c r="G202" s="2">
        <v>138.61260000000001</v>
      </c>
      <c r="H202" s="2">
        <v>29.0</v>
      </c>
      <c r="I202" s="2">
        <v>2756.0</v>
      </c>
      <c r="J202" s="2">
        <f t="shared" si="1"/>
        <v>0.38</v>
      </c>
      <c r="K202" s="2">
        <f t="shared" si="2"/>
        <v>0.38</v>
      </c>
      <c r="L202" s="2">
        <f t="shared" si="3"/>
        <v>26.6</v>
      </c>
      <c r="M202" s="2">
        <f t="shared" si="4"/>
        <v>0.07950215204</v>
      </c>
    </row>
    <row r="203" ht="15.75" customHeight="1">
      <c r="A203" s="3">
        <v>44952.0</v>
      </c>
      <c r="B203" s="2" t="s">
        <v>14</v>
      </c>
      <c r="C203" s="2" t="s">
        <v>17</v>
      </c>
      <c r="D203" s="2" t="s">
        <v>28</v>
      </c>
      <c r="E203" s="2">
        <v>7058.0</v>
      </c>
      <c r="F203" s="2">
        <v>352.90000000000003</v>
      </c>
      <c r="G203" s="2">
        <v>127.04400000000001</v>
      </c>
      <c r="H203" s="2">
        <v>53.0</v>
      </c>
      <c r="I203" s="2">
        <v>3007.0</v>
      </c>
      <c r="J203" s="2">
        <f t="shared" si="1"/>
        <v>0.36</v>
      </c>
      <c r="K203" s="2">
        <f t="shared" si="2"/>
        <v>0.36</v>
      </c>
      <c r="L203" s="2">
        <f t="shared" si="3"/>
        <v>18</v>
      </c>
      <c r="M203" s="2">
        <f t="shared" si="4"/>
        <v>0.1501841882</v>
      </c>
    </row>
    <row r="204" ht="15.75" customHeight="1">
      <c r="A204" s="3">
        <v>44952.0</v>
      </c>
      <c r="B204" s="2" t="s">
        <v>20</v>
      </c>
      <c r="C204" s="2" t="s">
        <v>21</v>
      </c>
      <c r="D204" s="2" t="s">
        <v>25</v>
      </c>
      <c r="E204" s="2">
        <v>5246.0</v>
      </c>
      <c r="F204" s="2">
        <v>367.22</v>
      </c>
      <c r="G204" s="2">
        <v>481.05820000000006</v>
      </c>
      <c r="H204" s="2">
        <v>48.0</v>
      </c>
      <c r="I204" s="2">
        <v>1912.0</v>
      </c>
      <c r="J204" s="2">
        <f t="shared" si="1"/>
        <v>1.31</v>
      </c>
      <c r="K204" s="2">
        <f t="shared" si="2"/>
        <v>1.31</v>
      </c>
      <c r="L204" s="2">
        <f t="shared" si="3"/>
        <v>91.7</v>
      </c>
      <c r="M204" s="2">
        <f t="shared" si="4"/>
        <v>0.1307118349</v>
      </c>
    </row>
    <row r="205" ht="15.75" customHeight="1">
      <c r="A205" s="3">
        <v>44952.0</v>
      </c>
      <c r="B205" s="2" t="s">
        <v>20</v>
      </c>
      <c r="C205" s="2" t="s">
        <v>23</v>
      </c>
      <c r="D205" s="2" t="s">
        <v>24</v>
      </c>
      <c r="E205" s="2">
        <v>5833.0</v>
      </c>
      <c r="F205" s="2">
        <v>291.65000000000003</v>
      </c>
      <c r="G205" s="2">
        <v>565.801</v>
      </c>
      <c r="H205" s="2">
        <v>26.0</v>
      </c>
      <c r="I205" s="2">
        <v>2681.0</v>
      </c>
      <c r="J205" s="2">
        <f t="shared" si="1"/>
        <v>1.94</v>
      </c>
      <c r="K205" s="2">
        <f t="shared" si="2"/>
        <v>1.94</v>
      </c>
      <c r="L205" s="2">
        <f t="shared" si="3"/>
        <v>97</v>
      </c>
      <c r="M205" s="2">
        <f t="shared" si="4"/>
        <v>0.08914795131</v>
      </c>
    </row>
    <row r="206" ht="15.75" customHeight="1">
      <c r="A206" s="3">
        <v>44952.0</v>
      </c>
      <c r="B206" s="2" t="s">
        <v>26</v>
      </c>
      <c r="C206" s="2" t="s">
        <v>27</v>
      </c>
      <c r="D206" s="2" t="s">
        <v>22</v>
      </c>
      <c r="E206" s="2">
        <v>13179.0</v>
      </c>
      <c r="F206" s="2">
        <v>658.95</v>
      </c>
      <c r="G206" s="2">
        <v>342.65400000000005</v>
      </c>
      <c r="H206" s="2">
        <v>46.0</v>
      </c>
      <c r="I206" s="2">
        <v>3033.0</v>
      </c>
      <c r="J206" s="2">
        <f t="shared" si="1"/>
        <v>0.52</v>
      </c>
      <c r="K206" s="2">
        <f t="shared" si="2"/>
        <v>0.52</v>
      </c>
      <c r="L206" s="2">
        <f t="shared" si="3"/>
        <v>26</v>
      </c>
      <c r="M206" s="2">
        <f t="shared" si="4"/>
        <v>0.06980802792</v>
      </c>
    </row>
    <row r="207" ht="15.75" customHeight="1">
      <c r="A207" s="3">
        <v>44952.0</v>
      </c>
      <c r="B207" s="2" t="s">
        <v>26</v>
      </c>
      <c r="C207" s="2" t="s">
        <v>31</v>
      </c>
      <c r="D207" s="2" t="s">
        <v>30</v>
      </c>
      <c r="E207" s="2">
        <v>13232.0</v>
      </c>
      <c r="F207" s="2">
        <v>1323.2</v>
      </c>
      <c r="G207" s="2">
        <v>1111.488</v>
      </c>
      <c r="H207" s="2">
        <v>265.0</v>
      </c>
      <c r="I207" s="2">
        <v>996.0</v>
      </c>
      <c r="J207" s="2">
        <f t="shared" si="1"/>
        <v>0.84</v>
      </c>
      <c r="K207" s="2">
        <f t="shared" si="2"/>
        <v>0.84</v>
      </c>
      <c r="L207" s="2">
        <f t="shared" si="3"/>
        <v>84</v>
      </c>
      <c r="M207" s="2">
        <f t="shared" si="4"/>
        <v>0.2002720677</v>
      </c>
    </row>
    <row r="208" ht="15.75" customHeight="1">
      <c r="A208" s="3">
        <v>44952.0</v>
      </c>
      <c r="B208" s="2" t="s">
        <v>33</v>
      </c>
      <c r="C208" s="2" t="s">
        <v>34</v>
      </c>
      <c r="D208" s="2" t="s">
        <v>18</v>
      </c>
      <c r="E208" s="2">
        <v>4245.0</v>
      </c>
      <c r="F208" s="2">
        <v>424.5</v>
      </c>
      <c r="G208" s="2">
        <v>0.0</v>
      </c>
      <c r="H208" s="2">
        <v>51.0</v>
      </c>
      <c r="I208" s="2">
        <v>929.0</v>
      </c>
      <c r="J208" s="2">
        <f t="shared" si="1"/>
        <v>0</v>
      </c>
      <c r="K208" s="2">
        <f t="shared" si="2"/>
        <v>0</v>
      </c>
      <c r="L208" s="2">
        <f t="shared" si="3"/>
        <v>0</v>
      </c>
      <c r="M208" s="2">
        <f t="shared" si="4"/>
        <v>0.1201413428</v>
      </c>
    </row>
    <row r="209" ht="15.75" customHeight="1">
      <c r="A209" s="3">
        <v>44952.0</v>
      </c>
      <c r="B209" s="2" t="s">
        <v>33</v>
      </c>
      <c r="C209" s="2" t="s">
        <v>35</v>
      </c>
      <c r="D209" s="2" t="s">
        <v>13</v>
      </c>
      <c r="E209" s="2">
        <v>5049.0</v>
      </c>
      <c r="F209" s="2">
        <v>353.43</v>
      </c>
      <c r="G209" s="2">
        <v>0.0</v>
      </c>
      <c r="H209" s="2">
        <v>21.0</v>
      </c>
      <c r="I209" s="2">
        <v>4643.0</v>
      </c>
      <c r="J209" s="2">
        <f t="shared" si="1"/>
        <v>0</v>
      </c>
      <c r="K209" s="2">
        <f t="shared" si="2"/>
        <v>0</v>
      </c>
      <c r="L209" s="2">
        <f t="shared" si="3"/>
        <v>0</v>
      </c>
      <c r="M209" s="2">
        <f t="shared" si="4"/>
        <v>0.05941770648</v>
      </c>
    </row>
    <row r="210" ht="15.75" customHeight="1">
      <c r="A210" s="3">
        <v>44953.0</v>
      </c>
      <c r="B210" s="2" t="s">
        <v>14</v>
      </c>
      <c r="C210" s="2" t="s">
        <v>15</v>
      </c>
      <c r="D210" s="2" t="s">
        <v>13</v>
      </c>
      <c r="E210" s="2">
        <v>8005.0</v>
      </c>
      <c r="F210" s="2">
        <v>240.14999999999998</v>
      </c>
      <c r="G210" s="2">
        <v>244.95299999999997</v>
      </c>
      <c r="H210" s="2">
        <v>31.0</v>
      </c>
      <c r="I210" s="2">
        <v>1802.0</v>
      </c>
      <c r="J210" s="2">
        <f t="shared" si="1"/>
        <v>1.02</v>
      </c>
      <c r="K210" s="2">
        <f t="shared" si="2"/>
        <v>1.02</v>
      </c>
      <c r="L210" s="2">
        <f t="shared" si="3"/>
        <v>30.6</v>
      </c>
      <c r="M210" s="2">
        <f t="shared" si="4"/>
        <v>0.1290859879</v>
      </c>
    </row>
    <row r="211" ht="15.75" customHeight="1">
      <c r="A211" s="3">
        <v>44953.0</v>
      </c>
      <c r="B211" s="2" t="s">
        <v>14</v>
      </c>
      <c r="C211" s="2" t="s">
        <v>17</v>
      </c>
      <c r="D211" s="2" t="s">
        <v>18</v>
      </c>
      <c r="E211" s="2">
        <v>9405.0</v>
      </c>
      <c r="F211" s="2">
        <v>940.5</v>
      </c>
      <c r="G211" s="2">
        <v>695.97</v>
      </c>
      <c r="H211" s="2">
        <v>179.0</v>
      </c>
      <c r="I211" s="2">
        <v>1182.0</v>
      </c>
      <c r="J211" s="2">
        <f t="shared" si="1"/>
        <v>0.74</v>
      </c>
      <c r="K211" s="2">
        <f t="shared" si="2"/>
        <v>0.74</v>
      </c>
      <c r="L211" s="2">
        <f t="shared" si="3"/>
        <v>74</v>
      </c>
      <c r="M211" s="2">
        <f t="shared" si="4"/>
        <v>0.1903242956</v>
      </c>
    </row>
    <row r="212" ht="15.75" customHeight="1">
      <c r="A212" s="3">
        <v>44953.0</v>
      </c>
      <c r="B212" s="2" t="s">
        <v>20</v>
      </c>
      <c r="C212" s="2" t="s">
        <v>21</v>
      </c>
      <c r="D212" s="2" t="s">
        <v>18</v>
      </c>
      <c r="E212" s="2">
        <v>2341.0</v>
      </c>
      <c r="F212" s="2">
        <v>234.10000000000002</v>
      </c>
      <c r="G212" s="2">
        <v>168.55200000000002</v>
      </c>
      <c r="H212" s="2">
        <v>28.0</v>
      </c>
      <c r="I212" s="2">
        <v>4160.0</v>
      </c>
      <c r="J212" s="2">
        <f t="shared" si="1"/>
        <v>0.72</v>
      </c>
      <c r="K212" s="2">
        <f t="shared" si="2"/>
        <v>0.72</v>
      </c>
      <c r="L212" s="2">
        <f t="shared" si="3"/>
        <v>72</v>
      </c>
      <c r="M212" s="2">
        <f t="shared" si="4"/>
        <v>0.1196070056</v>
      </c>
    </row>
    <row r="213" ht="15.75" customHeight="1">
      <c r="A213" s="3">
        <v>44953.0</v>
      </c>
      <c r="B213" s="2" t="s">
        <v>20</v>
      </c>
      <c r="C213" s="2" t="s">
        <v>23</v>
      </c>
      <c r="D213" s="2" t="s">
        <v>24</v>
      </c>
      <c r="E213" s="2">
        <v>5499.0</v>
      </c>
      <c r="F213" s="2">
        <v>164.97</v>
      </c>
      <c r="G213" s="2">
        <v>179.81730000000002</v>
      </c>
      <c r="H213" s="2">
        <v>21.0</v>
      </c>
      <c r="I213" s="2">
        <v>1404.0</v>
      </c>
      <c r="J213" s="2">
        <f t="shared" si="1"/>
        <v>1.09</v>
      </c>
      <c r="K213" s="2">
        <f t="shared" si="2"/>
        <v>1.09</v>
      </c>
      <c r="L213" s="2">
        <f t="shared" si="3"/>
        <v>32.7</v>
      </c>
      <c r="M213" s="2">
        <f t="shared" si="4"/>
        <v>0.127295872</v>
      </c>
    </row>
    <row r="214" ht="15.75" customHeight="1">
      <c r="A214" s="3">
        <v>44953.0</v>
      </c>
      <c r="B214" s="2" t="s">
        <v>26</v>
      </c>
      <c r="C214" s="2" t="s">
        <v>27</v>
      </c>
      <c r="D214" s="2" t="s">
        <v>25</v>
      </c>
      <c r="E214" s="2">
        <v>8381.0</v>
      </c>
      <c r="F214" s="2">
        <v>502.85999999999996</v>
      </c>
      <c r="G214" s="2">
        <v>341.9448</v>
      </c>
      <c r="H214" s="2">
        <v>96.0</v>
      </c>
      <c r="I214" s="2">
        <v>3078.0</v>
      </c>
      <c r="J214" s="2">
        <f t="shared" si="1"/>
        <v>0.68</v>
      </c>
      <c r="K214" s="2">
        <f t="shared" si="2"/>
        <v>0.68</v>
      </c>
      <c r="L214" s="2">
        <f t="shared" si="3"/>
        <v>40.8</v>
      </c>
      <c r="M214" s="2">
        <f t="shared" si="4"/>
        <v>0.1909080062</v>
      </c>
    </row>
    <row r="215" ht="15.75" customHeight="1">
      <c r="A215" s="3">
        <v>44953.0</v>
      </c>
      <c r="B215" s="2" t="s">
        <v>26</v>
      </c>
      <c r="C215" s="2" t="s">
        <v>31</v>
      </c>
      <c r="D215" s="2" t="s">
        <v>19</v>
      </c>
      <c r="E215" s="2">
        <v>14080.0</v>
      </c>
      <c r="F215" s="2">
        <v>985.6000000000001</v>
      </c>
      <c r="G215" s="2">
        <v>916.6080000000002</v>
      </c>
      <c r="H215" s="2">
        <v>99.0</v>
      </c>
      <c r="I215" s="2">
        <v>2423.0</v>
      </c>
      <c r="J215" s="2">
        <f t="shared" si="1"/>
        <v>0.93</v>
      </c>
      <c r="K215" s="2">
        <f t="shared" si="2"/>
        <v>0.93</v>
      </c>
      <c r="L215" s="2">
        <f t="shared" si="3"/>
        <v>65.1</v>
      </c>
      <c r="M215" s="2">
        <f t="shared" si="4"/>
        <v>0.1004464286</v>
      </c>
    </row>
    <row r="216" ht="15.75" customHeight="1">
      <c r="A216" s="3">
        <v>44953.0</v>
      </c>
      <c r="B216" s="2" t="s">
        <v>33</v>
      </c>
      <c r="C216" s="2" t="s">
        <v>34</v>
      </c>
      <c r="D216" s="2" t="s">
        <v>13</v>
      </c>
      <c r="E216" s="2">
        <v>2009.0</v>
      </c>
      <c r="F216" s="2">
        <v>80.36</v>
      </c>
      <c r="G216" s="2">
        <v>0.0</v>
      </c>
      <c r="H216" s="2">
        <v>8.0</v>
      </c>
      <c r="I216" s="2">
        <v>4337.0</v>
      </c>
      <c r="J216" s="2">
        <f t="shared" si="1"/>
        <v>0</v>
      </c>
      <c r="K216" s="2">
        <f t="shared" si="2"/>
        <v>0</v>
      </c>
      <c r="L216" s="2">
        <f t="shared" si="3"/>
        <v>0</v>
      </c>
      <c r="M216" s="2">
        <f t="shared" si="4"/>
        <v>0.09955201593</v>
      </c>
    </row>
    <row r="217" ht="15.75" customHeight="1">
      <c r="A217" s="3">
        <v>44953.0</v>
      </c>
      <c r="B217" s="2" t="s">
        <v>33</v>
      </c>
      <c r="C217" s="2" t="s">
        <v>35</v>
      </c>
      <c r="D217" s="2" t="s">
        <v>24</v>
      </c>
      <c r="E217" s="2">
        <v>4215.0</v>
      </c>
      <c r="F217" s="2">
        <v>126.44999999999999</v>
      </c>
      <c r="G217" s="2">
        <v>0.0</v>
      </c>
      <c r="H217" s="2">
        <v>16.0</v>
      </c>
      <c r="I217" s="2">
        <v>939.0</v>
      </c>
      <c r="J217" s="2">
        <f t="shared" si="1"/>
        <v>0</v>
      </c>
      <c r="K217" s="2">
        <f t="shared" si="2"/>
        <v>0</v>
      </c>
      <c r="L217" s="2">
        <f t="shared" si="3"/>
        <v>0</v>
      </c>
      <c r="M217" s="2">
        <f t="shared" si="4"/>
        <v>0.1265322262</v>
      </c>
    </row>
    <row r="218" ht="15.75" customHeight="1">
      <c r="A218" s="3">
        <v>44954.0</v>
      </c>
      <c r="B218" s="2" t="s">
        <v>14</v>
      </c>
      <c r="C218" s="2" t="s">
        <v>15</v>
      </c>
      <c r="D218" s="2" t="s">
        <v>28</v>
      </c>
      <c r="E218" s="2">
        <v>9233.0</v>
      </c>
      <c r="F218" s="2">
        <v>646.3100000000001</v>
      </c>
      <c r="G218" s="2">
        <v>646.3100000000001</v>
      </c>
      <c r="H218" s="2">
        <v>103.0</v>
      </c>
      <c r="I218" s="2">
        <v>635.0</v>
      </c>
      <c r="J218" s="2">
        <f t="shared" si="1"/>
        <v>1</v>
      </c>
      <c r="K218" s="2">
        <f t="shared" si="2"/>
        <v>1</v>
      </c>
      <c r="L218" s="2">
        <f t="shared" si="3"/>
        <v>70</v>
      </c>
      <c r="M218" s="2">
        <f t="shared" si="4"/>
        <v>0.1593662484</v>
      </c>
    </row>
    <row r="219" ht="15.75" customHeight="1">
      <c r="A219" s="3">
        <v>44954.0</v>
      </c>
      <c r="B219" s="2" t="s">
        <v>14</v>
      </c>
      <c r="C219" s="2" t="s">
        <v>17</v>
      </c>
      <c r="D219" s="2" t="s">
        <v>28</v>
      </c>
      <c r="E219" s="2">
        <v>8118.0</v>
      </c>
      <c r="F219" s="2">
        <v>730.62</v>
      </c>
      <c r="G219" s="2">
        <v>905.9688</v>
      </c>
      <c r="H219" s="2">
        <v>124.0</v>
      </c>
      <c r="I219" s="2">
        <v>200.0</v>
      </c>
      <c r="J219" s="2">
        <f t="shared" si="1"/>
        <v>1.24</v>
      </c>
      <c r="K219" s="2">
        <f t="shared" si="2"/>
        <v>1.24</v>
      </c>
      <c r="L219" s="2">
        <f t="shared" si="3"/>
        <v>111.6</v>
      </c>
      <c r="M219" s="2">
        <f t="shared" si="4"/>
        <v>0.1697188689</v>
      </c>
    </row>
    <row r="220" ht="15.75" customHeight="1">
      <c r="A220" s="3">
        <v>44954.0</v>
      </c>
      <c r="B220" s="2" t="s">
        <v>20</v>
      </c>
      <c r="C220" s="2" t="s">
        <v>21</v>
      </c>
      <c r="D220" s="2" t="s">
        <v>32</v>
      </c>
      <c r="E220" s="2">
        <v>3664.0</v>
      </c>
      <c r="F220" s="2">
        <v>366.40000000000003</v>
      </c>
      <c r="G220" s="2">
        <v>531.2800000000001</v>
      </c>
      <c r="H220" s="2">
        <v>22.0</v>
      </c>
      <c r="I220" s="2">
        <v>4355.0</v>
      </c>
      <c r="J220" s="2">
        <f t="shared" si="1"/>
        <v>1.45</v>
      </c>
      <c r="K220" s="2">
        <f t="shared" si="2"/>
        <v>1.45</v>
      </c>
      <c r="L220" s="2">
        <f t="shared" si="3"/>
        <v>145</v>
      </c>
      <c r="M220" s="2">
        <f t="shared" si="4"/>
        <v>0.06004366812</v>
      </c>
    </row>
    <row r="221" ht="15.75" customHeight="1">
      <c r="A221" s="3">
        <v>44954.0</v>
      </c>
      <c r="B221" s="2" t="s">
        <v>20</v>
      </c>
      <c r="C221" s="2" t="s">
        <v>23</v>
      </c>
      <c r="D221" s="2" t="s">
        <v>18</v>
      </c>
      <c r="E221" s="2">
        <v>4624.0</v>
      </c>
      <c r="F221" s="2">
        <v>231.20000000000002</v>
      </c>
      <c r="G221" s="2">
        <v>150.28000000000003</v>
      </c>
      <c r="H221" s="2">
        <v>30.0</v>
      </c>
      <c r="I221" s="2">
        <v>1430.0</v>
      </c>
      <c r="J221" s="2">
        <f t="shared" si="1"/>
        <v>0.65</v>
      </c>
      <c r="K221" s="2">
        <f t="shared" si="2"/>
        <v>0.65</v>
      </c>
      <c r="L221" s="2">
        <f t="shared" si="3"/>
        <v>32.5</v>
      </c>
      <c r="M221" s="2">
        <f t="shared" si="4"/>
        <v>0.1297577855</v>
      </c>
    </row>
    <row r="222" ht="15.75" customHeight="1">
      <c r="A222" s="3">
        <v>44954.0</v>
      </c>
      <c r="B222" s="2" t="s">
        <v>26</v>
      </c>
      <c r="C222" s="2" t="s">
        <v>27</v>
      </c>
      <c r="D222" s="2" t="s">
        <v>28</v>
      </c>
      <c r="E222" s="2">
        <v>12195.0</v>
      </c>
      <c r="F222" s="2">
        <v>243.9</v>
      </c>
      <c r="G222" s="2">
        <v>221.949</v>
      </c>
      <c r="H222" s="2">
        <v>17.0</v>
      </c>
      <c r="I222" s="2">
        <v>2260.0</v>
      </c>
      <c r="J222" s="2">
        <f t="shared" si="1"/>
        <v>0.91</v>
      </c>
      <c r="K222" s="2">
        <f t="shared" si="2"/>
        <v>0.91</v>
      </c>
      <c r="L222" s="2">
        <f t="shared" si="3"/>
        <v>18.2</v>
      </c>
      <c r="M222" s="2">
        <f t="shared" si="4"/>
        <v>0.06970069701</v>
      </c>
    </row>
    <row r="223" ht="15.75" customHeight="1">
      <c r="A223" s="3">
        <v>44954.0</v>
      </c>
      <c r="B223" s="2" t="s">
        <v>26</v>
      </c>
      <c r="C223" s="2" t="s">
        <v>31</v>
      </c>
      <c r="D223" s="2" t="s">
        <v>28</v>
      </c>
      <c r="E223" s="2">
        <v>9208.0</v>
      </c>
      <c r="F223" s="2">
        <v>736.64</v>
      </c>
      <c r="G223" s="2">
        <v>1252.288</v>
      </c>
      <c r="H223" s="2">
        <v>74.0</v>
      </c>
      <c r="I223" s="2">
        <v>261.0</v>
      </c>
      <c r="J223" s="2">
        <f t="shared" si="1"/>
        <v>1.7</v>
      </c>
      <c r="K223" s="2">
        <f t="shared" si="2"/>
        <v>1.7</v>
      </c>
      <c r="L223" s="2">
        <f t="shared" si="3"/>
        <v>136</v>
      </c>
      <c r="M223" s="2">
        <f t="shared" si="4"/>
        <v>0.1004561251</v>
      </c>
    </row>
    <row r="224" ht="15.75" customHeight="1">
      <c r="A224" s="3">
        <v>44954.0</v>
      </c>
      <c r="B224" s="2" t="s">
        <v>33</v>
      </c>
      <c r="C224" s="2" t="s">
        <v>34</v>
      </c>
      <c r="D224" s="2" t="s">
        <v>24</v>
      </c>
      <c r="E224" s="2">
        <v>4535.0</v>
      </c>
      <c r="F224" s="2">
        <v>181.4</v>
      </c>
      <c r="G224" s="2">
        <v>0.0</v>
      </c>
      <c r="H224" s="2">
        <v>27.0</v>
      </c>
      <c r="I224" s="2">
        <v>4615.0</v>
      </c>
      <c r="J224" s="2">
        <f t="shared" si="1"/>
        <v>0</v>
      </c>
      <c r="K224" s="2">
        <f t="shared" si="2"/>
        <v>0</v>
      </c>
      <c r="L224" s="2">
        <f t="shared" si="3"/>
        <v>0</v>
      </c>
      <c r="M224" s="2">
        <f t="shared" si="4"/>
        <v>0.1488423374</v>
      </c>
    </row>
    <row r="225" ht="15.75" customHeight="1">
      <c r="A225" s="3">
        <v>44954.0</v>
      </c>
      <c r="B225" s="2" t="s">
        <v>33</v>
      </c>
      <c r="C225" s="2" t="s">
        <v>35</v>
      </c>
      <c r="D225" s="2" t="s">
        <v>22</v>
      </c>
      <c r="E225" s="2">
        <v>2477.0</v>
      </c>
      <c r="F225" s="2">
        <v>148.62</v>
      </c>
      <c r="G225" s="2">
        <v>0.0</v>
      </c>
      <c r="H225" s="2">
        <v>27.0</v>
      </c>
      <c r="I225" s="2">
        <v>139.0</v>
      </c>
      <c r="J225" s="2">
        <f t="shared" si="1"/>
        <v>0</v>
      </c>
      <c r="K225" s="2">
        <f t="shared" si="2"/>
        <v>0</v>
      </c>
      <c r="L225" s="2">
        <f t="shared" si="3"/>
        <v>0</v>
      </c>
      <c r="M225" s="2">
        <f t="shared" si="4"/>
        <v>0.1816713767</v>
      </c>
    </row>
    <row r="226" ht="15.75" customHeight="1">
      <c r="A226" s="3">
        <v>44955.0</v>
      </c>
      <c r="B226" s="2" t="s">
        <v>14</v>
      </c>
      <c r="C226" s="2" t="s">
        <v>15</v>
      </c>
      <c r="D226" s="2" t="s">
        <v>25</v>
      </c>
      <c r="E226" s="2">
        <v>6344.0</v>
      </c>
      <c r="F226" s="2">
        <v>380.64</v>
      </c>
      <c r="G226" s="2">
        <v>494.832</v>
      </c>
      <c r="H226" s="2">
        <v>53.0</v>
      </c>
      <c r="I226" s="2">
        <v>3895.0</v>
      </c>
      <c r="J226" s="2">
        <f t="shared" si="1"/>
        <v>1.3</v>
      </c>
      <c r="K226" s="2">
        <f t="shared" si="2"/>
        <v>1.3</v>
      </c>
      <c r="L226" s="2">
        <f t="shared" si="3"/>
        <v>78</v>
      </c>
      <c r="M226" s="2">
        <f t="shared" si="4"/>
        <v>0.1392391761</v>
      </c>
    </row>
    <row r="227" ht="15.75" customHeight="1">
      <c r="A227" s="3">
        <v>44955.0</v>
      </c>
      <c r="B227" s="2" t="s">
        <v>14</v>
      </c>
      <c r="C227" s="2" t="s">
        <v>17</v>
      </c>
      <c r="D227" s="2" t="s">
        <v>24</v>
      </c>
      <c r="E227" s="2">
        <v>10483.0</v>
      </c>
      <c r="F227" s="2">
        <v>524.15</v>
      </c>
      <c r="G227" s="2">
        <v>262.075</v>
      </c>
      <c r="H227" s="2">
        <v>31.0</v>
      </c>
      <c r="I227" s="2">
        <v>3863.0</v>
      </c>
      <c r="J227" s="2">
        <f t="shared" si="1"/>
        <v>0.5</v>
      </c>
      <c r="K227" s="2">
        <f t="shared" si="2"/>
        <v>0.5</v>
      </c>
      <c r="L227" s="2">
        <f t="shared" si="3"/>
        <v>25</v>
      </c>
      <c r="M227" s="2">
        <f t="shared" si="4"/>
        <v>0.05914337499</v>
      </c>
    </row>
    <row r="228" ht="15.75" customHeight="1">
      <c r="A228" s="3">
        <v>44955.0</v>
      </c>
      <c r="B228" s="2" t="s">
        <v>20</v>
      </c>
      <c r="C228" s="2" t="s">
        <v>21</v>
      </c>
      <c r="D228" s="2" t="s">
        <v>16</v>
      </c>
      <c r="E228" s="2">
        <v>2432.0</v>
      </c>
      <c r="F228" s="2">
        <v>194.56</v>
      </c>
      <c r="G228" s="2">
        <v>295.7312</v>
      </c>
      <c r="H228" s="2">
        <v>12.0</v>
      </c>
      <c r="I228" s="2">
        <v>1056.0</v>
      </c>
      <c r="J228" s="2">
        <f t="shared" si="1"/>
        <v>1.52</v>
      </c>
      <c r="K228" s="2">
        <f t="shared" si="2"/>
        <v>1.52</v>
      </c>
      <c r="L228" s="2">
        <f t="shared" si="3"/>
        <v>121.6</v>
      </c>
      <c r="M228" s="2">
        <f t="shared" si="4"/>
        <v>0.06167763158</v>
      </c>
    </row>
    <row r="229" ht="15.75" customHeight="1">
      <c r="A229" s="3">
        <v>44955.0</v>
      </c>
      <c r="B229" s="2" t="s">
        <v>20</v>
      </c>
      <c r="C229" s="2" t="s">
        <v>23</v>
      </c>
      <c r="D229" s="2" t="s">
        <v>16</v>
      </c>
      <c r="E229" s="2">
        <v>4166.0</v>
      </c>
      <c r="F229" s="2">
        <v>166.64000000000001</v>
      </c>
      <c r="G229" s="2">
        <v>313.2832</v>
      </c>
      <c r="H229" s="2">
        <v>30.0</v>
      </c>
      <c r="I229" s="2">
        <v>568.0</v>
      </c>
      <c r="J229" s="2">
        <f t="shared" si="1"/>
        <v>1.88</v>
      </c>
      <c r="K229" s="2">
        <f t="shared" si="2"/>
        <v>1.88</v>
      </c>
      <c r="L229" s="2">
        <f t="shared" si="3"/>
        <v>75.2</v>
      </c>
      <c r="M229" s="2">
        <f t="shared" si="4"/>
        <v>0.1800288046</v>
      </c>
    </row>
    <row r="230" ht="15.75" customHeight="1">
      <c r="A230" s="3">
        <v>44955.0</v>
      </c>
      <c r="B230" s="2" t="s">
        <v>26</v>
      </c>
      <c r="C230" s="2" t="s">
        <v>27</v>
      </c>
      <c r="D230" s="2" t="s">
        <v>25</v>
      </c>
      <c r="E230" s="2">
        <v>10654.0</v>
      </c>
      <c r="F230" s="2">
        <v>532.7</v>
      </c>
      <c r="G230" s="2">
        <v>884.282</v>
      </c>
      <c r="H230" s="2">
        <v>64.0</v>
      </c>
      <c r="I230" s="2">
        <v>3440.0</v>
      </c>
      <c r="J230" s="2">
        <f t="shared" si="1"/>
        <v>1.66</v>
      </c>
      <c r="K230" s="2">
        <f t="shared" si="2"/>
        <v>1.66</v>
      </c>
      <c r="L230" s="2">
        <f t="shared" si="3"/>
        <v>83</v>
      </c>
      <c r="M230" s="2">
        <f t="shared" si="4"/>
        <v>0.1201426694</v>
      </c>
    </row>
    <row r="231" ht="15.75" customHeight="1">
      <c r="A231" s="3">
        <v>44955.0</v>
      </c>
      <c r="B231" s="2" t="s">
        <v>26</v>
      </c>
      <c r="C231" s="2" t="s">
        <v>31</v>
      </c>
      <c r="D231" s="2" t="s">
        <v>16</v>
      </c>
      <c r="E231" s="2">
        <v>12763.0</v>
      </c>
      <c r="F231" s="2">
        <v>893.4100000000001</v>
      </c>
      <c r="G231" s="2">
        <v>312.69350000000003</v>
      </c>
      <c r="H231" s="2">
        <v>152.0</v>
      </c>
      <c r="I231" s="2">
        <v>4935.0</v>
      </c>
      <c r="J231" s="2">
        <f t="shared" si="1"/>
        <v>0.35</v>
      </c>
      <c r="K231" s="2">
        <f t="shared" si="2"/>
        <v>0.35</v>
      </c>
      <c r="L231" s="2">
        <f t="shared" si="3"/>
        <v>24.5</v>
      </c>
      <c r="M231" s="2">
        <f t="shared" si="4"/>
        <v>0.1701346526</v>
      </c>
    </row>
    <row r="232" ht="15.75" customHeight="1">
      <c r="A232" s="3">
        <v>44955.0</v>
      </c>
      <c r="B232" s="2" t="s">
        <v>33</v>
      </c>
      <c r="C232" s="2" t="s">
        <v>34</v>
      </c>
      <c r="D232" s="2" t="s">
        <v>16</v>
      </c>
      <c r="E232" s="2">
        <v>4312.0</v>
      </c>
      <c r="F232" s="2">
        <v>344.96</v>
      </c>
      <c r="G232" s="2">
        <v>0.0</v>
      </c>
      <c r="H232" s="2">
        <v>17.0</v>
      </c>
      <c r="I232" s="2">
        <v>4030.0</v>
      </c>
      <c r="J232" s="2">
        <f t="shared" si="1"/>
        <v>0</v>
      </c>
      <c r="K232" s="2">
        <f t="shared" si="2"/>
        <v>0</v>
      </c>
      <c r="L232" s="2">
        <f t="shared" si="3"/>
        <v>0</v>
      </c>
      <c r="M232" s="2">
        <f t="shared" si="4"/>
        <v>0.04928107607</v>
      </c>
    </row>
    <row r="233" ht="15.75" customHeight="1">
      <c r="A233" s="3">
        <v>44955.0</v>
      </c>
      <c r="B233" s="2" t="s">
        <v>33</v>
      </c>
      <c r="C233" s="2" t="s">
        <v>35</v>
      </c>
      <c r="D233" s="2" t="s">
        <v>19</v>
      </c>
      <c r="E233" s="2">
        <v>3613.0</v>
      </c>
      <c r="F233" s="2">
        <v>144.52</v>
      </c>
      <c r="G233" s="2">
        <v>0.0</v>
      </c>
      <c r="H233" s="2">
        <v>9.0</v>
      </c>
      <c r="I233" s="2">
        <v>860.0</v>
      </c>
      <c r="J233" s="2">
        <f t="shared" si="1"/>
        <v>0</v>
      </c>
      <c r="K233" s="2">
        <f t="shared" si="2"/>
        <v>0</v>
      </c>
      <c r="L233" s="2">
        <f t="shared" si="3"/>
        <v>0</v>
      </c>
      <c r="M233" s="2">
        <f t="shared" si="4"/>
        <v>0.06227511763</v>
      </c>
    </row>
    <row r="234" ht="15.75" customHeight="1">
      <c r="A234" s="3">
        <v>44956.0</v>
      </c>
      <c r="B234" s="2" t="s">
        <v>14</v>
      </c>
      <c r="C234" s="2" t="s">
        <v>15</v>
      </c>
      <c r="D234" s="2" t="s">
        <v>19</v>
      </c>
      <c r="E234" s="2">
        <v>9154.0</v>
      </c>
      <c r="F234" s="2">
        <v>915.4000000000001</v>
      </c>
      <c r="G234" s="2">
        <v>1135.096</v>
      </c>
      <c r="H234" s="2">
        <v>92.0</v>
      </c>
      <c r="I234" s="2">
        <v>4296.0</v>
      </c>
      <c r="J234" s="2">
        <f t="shared" si="1"/>
        <v>1.24</v>
      </c>
      <c r="K234" s="2">
        <f t="shared" si="2"/>
        <v>1.24</v>
      </c>
      <c r="L234" s="2">
        <f t="shared" si="3"/>
        <v>124</v>
      </c>
      <c r="M234" s="2">
        <f t="shared" si="4"/>
        <v>0.1005025126</v>
      </c>
    </row>
    <row r="235" ht="15.75" customHeight="1">
      <c r="A235" s="3">
        <v>44956.0</v>
      </c>
      <c r="B235" s="2" t="s">
        <v>14</v>
      </c>
      <c r="C235" s="2" t="s">
        <v>17</v>
      </c>
      <c r="D235" s="2" t="s">
        <v>30</v>
      </c>
      <c r="E235" s="2">
        <v>9814.0</v>
      </c>
      <c r="F235" s="2">
        <v>294.42</v>
      </c>
      <c r="G235" s="2">
        <v>161.931</v>
      </c>
      <c r="H235" s="2">
        <v>53.0</v>
      </c>
      <c r="I235" s="2">
        <v>562.0</v>
      </c>
      <c r="J235" s="2">
        <f t="shared" si="1"/>
        <v>0.55</v>
      </c>
      <c r="K235" s="2">
        <f t="shared" si="2"/>
        <v>0.55</v>
      </c>
      <c r="L235" s="2">
        <f t="shared" si="3"/>
        <v>16.5</v>
      </c>
      <c r="M235" s="2">
        <f t="shared" si="4"/>
        <v>0.1800149446</v>
      </c>
    </row>
    <row r="236" ht="15.75" customHeight="1">
      <c r="A236" s="3">
        <v>44956.0</v>
      </c>
      <c r="B236" s="2" t="s">
        <v>20</v>
      </c>
      <c r="C236" s="2" t="s">
        <v>21</v>
      </c>
      <c r="D236" s="2" t="s">
        <v>16</v>
      </c>
      <c r="E236" s="2">
        <v>3242.0</v>
      </c>
      <c r="F236" s="2">
        <v>259.36</v>
      </c>
      <c r="G236" s="2">
        <v>236.01760000000002</v>
      </c>
      <c r="H236" s="2">
        <v>47.0</v>
      </c>
      <c r="I236" s="2">
        <v>1700.0</v>
      </c>
      <c r="J236" s="2">
        <f t="shared" si="1"/>
        <v>0.91</v>
      </c>
      <c r="K236" s="2">
        <f t="shared" si="2"/>
        <v>0.91</v>
      </c>
      <c r="L236" s="2">
        <f t="shared" si="3"/>
        <v>72.8</v>
      </c>
      <c r="M236" s="2">
        <f t="shared" si="4"/>
        <v>0.1812152992</v>
      </c>
    </row>
    <row r="237" ht="15.75" customHeight="1">
      <c r="A237" s="3">
        <v>44956.0</v>
      </c>
      <c r="B237" s="2" t="s">
        <v>20</v>
      </c>
      <c r="C237" s="2" t="s">
        <v>23</v>
      </c>
      <c r="D237" s="2" t="s">
        <v>18</v>
      </c>
      <c r="E237" s="2">
        <v>3470.0</v>
      </c>
      <c r="F237" s="2">
        <v>347.0</v>
      </c>
      <c r="G237" s="2">
        <v>353.94</v>
      </c>
      <c r="H237" s="2">
        <v>24.0</v>
      </c>
      <c r="I237" s="2">
        <v>1517.0</v>
      </c>
      <c r="J237" s="2">
        <f t="shared" si="1"/>
        <v>1.02</v>
      </c>
      <c r="K237" s="2">
        <f t="shared" si="2"/>
        <v>1.02</v>
      </c>
      <c r="L237" s="2">
        <f t="shared" si="3"/>
        <v>102</v>
      </c>
      <c r="M237" s="2">
        <f t="shared" si="4"/>
        <v>0.06916426513</v>
      </c>
    </row>
    <row r="238" ht="15.75" customHeight="1">
      <c r="A238" s="3">
        <v>44956.0</v>
      </c>
      <c r="B238" s="2" t="s">
        <v>26</v>
      </c>
      <c r="C238" s="2" t="s">
        <v>27</v>
      </c>
      <c r="D238" s="2" t="s">
        <v>13</v>
      </c>
      <c r="E238" s="2">
        <v>12263.0</v>
      </c>
      <c r="F238" s="2">
        <v>1226.3</v>
      </c>
      <c r="G238" s="2">
        <v>1532.875</v>
      </c>
      <c r="H238" s="2">
        <v>86.0</v>
      </c>
      <c r="I238" s="2">
        <v>4655.0</v>
      </c>
      <c r="J238" s="2">
        <f t="shared" si="1"/>
        <v>1.25</v>
      </c>
      <c r="K238" s="2">
        <f t="shared" si="2"/>
        <v>1.25</v>
      </c>
      <c r="L238" s="2">
        <f t="shared" si="3"/>
        <v>125</v>
      </c>
      <c r="M238" s="2">
        <f t="shared" si="4"/>
        <v>0.07012965832</v>
      </c>
    </row>
    <row r="239" ht="15.75" customHeight="1">
      <c r="A239" s="3">
        <v>44956.0</v>
      </c>
      <c r="B239" s="2" t="s">
        <v>26</v>
      </c>
      <c r="C239" s="2" t="s">
        <v>31</v>
      </c>
      <c r="D239" s="2" t="s">
        <v>16</v>
      </c>
      <c r="E239" s="2">
        <v>14775.0</v>
      </c>
      <c r="F239" s="2">
        <v>886.5</v>
      </c>
      <c r="G239" s="2">
        <v>478.71000000000004</v>
      </c>
      <c r="H239" s="2">
        <v>98.0</v>
      </c>
      <c r="I239" s="2">
        <v>2981.0</v>
      </c>
      <c r="J239" s="2">
        <f t="shared" si="1"/>
        <v>0.54</v>
      </c>
      <c r="K239" s="2">
        <f t="shared" si="2"/>
        <v>0.54</v>
      </c>
      <c r="L239" s="2">
        <f t="shared" si="3"/>
        <v>32.4</v>
      </c>
      <c r="M239" s="2">
        <f t="shared" si="4"/>
        <v>0.1105470953</v>
      </c>
    </row>
    <row r="240" ht="15.75" customHeight="1">
      <c r="A240" s="3">
        <v>44956.0</v>
      </c>
      <c r="B240" s="2" t="s">
        <v>33</v>
      </c>
      <c r="C240" s="2" t="s">
        <v>34</v>
      </c>
      <c r="D240" s="2" t="s">
        <v>16</v>
      </c>
      <c r="E240" s="2">
        <v>5989.0</v>
      </c>
      <c r="F240" s="2">
        <v>179.67</v>
      </c>
      <c r="G240" s="2">
        <v>0.0</v>
      </c>
      <c r="H240" s="2">
        <v>13.0</v>
      </c>
      <c r="I240" s="2">
        <v>1748.0</v>
      </c>
      <c r="J240" s="2">
        <f t="shared" si="1"/>
        <v>0</v>
      </c>
      <c r="K240" s="2">
        <f t="shared" si="2"/>
        <v>0</v>
      </c>
      <c r="L240" s="2">
        <f t="shared" si="3"/>
        <v>0</v>
      </c>
      <c r="M240" s="2">
        <f t="shared" si="4"/>
        <v>0.07235487282</v>
      </c>
    </row>
    <row r="241" ht="15.75" customHeight="1">
      <c r="A241" s="3">
        <v>44956.0</v>
      </c>
      <c r="B241" s="2" t="s">
        <v>33</v>
      </c>
      <c r="C241" s="2" t="s">
        <v>35</v>
      </c>
      <c r="D241" s="2" t="s">
        <v>24</v>
      </c>
      <c r="E241" s="2">
        <v>2151.0</v>
      </c>
      <c r="F241" s="2">
        <v>193.59</v>
      </c>
      <c r="G241" s="2">
        <v>0.0</v>
      </c>
      <c r="H241" s="2">
        <v>21.0</v>
      </c>
      <c r="I241" s="2">
        <v>1062.0</v>
      </c>
      <c r="J241" s="2">
        <f t="shared" si="1"/>
        <v>0</v>
      </c>
      <c r="K241" s="2">
        <f t="shared" si="2"/>
        <v>0</v>
      </c>
      <c r="L241" s="2">
        <f t="shared" si="3"/>
        <v>0</v>
      </c>
      <c r="M241" s="2">
        <f t="shared" si="4"/>
        <v>0.1084766775</v>
      </c>
    </row>
    <row r="242" ht="15.75" customHeight="1">
      <c r="A242" s="3">
        <v>44957.0</v>
      </c>
      <c r="B242" s="2" t="s">
        <v>14</v>
      </c>
      <c r="C242" s="2" t="s">
        <v>15</v>
      </c>
      <c r="D242" s="2" t="s">
        <v>30</v>
      </c>
      <c r="E242" s="2">
        <v>5390.0</v>
      </c>
      <c r="F242" s="2">
        <v>377.3</v>
      </c>
      <c r="G242" s="2">
        <v>479.17100000000005</v>
      </c>
      <c r="H242" s="2">
        <v>64.0</v>
      </c>
      <c r="I242" s="2">
        <v>4196.0</v>
      </c>
      <c r="J242" s="2">
        <f t="shared" si="1"/>
        <v>1.27</v>
      </c>
      <c r="K242" s="2">
        <f t="shared" si="2"/>
        <v>1.27</v>
      </c>
      <c r="L242" s="2">
        <f t="shared" si="3"/>
        <v>88.9</v>
      </c>
      <c r="M242" s="2">
        <f t="shared" si="4"/>
        <v>0.1696262921</v>
      </c>
    </row>
    <row r="243" ht="15.75" customHeight="1">
      <c r="A243" s="3">
        <v>44957.0</v>
      </c>
      <c r="B243" s="2" t="s">
        <v>14</v>
      </c>
      <c r="C243" s="2" t="s">
        <v>17</v>
      </c>
      <c r="D243" s="2" t="s">
        <v>32</v>
      </c>
      <c r="E243" s="2">
        <v>7515.0</v>
      </c>
      <c r="F243" s="2">
        <v>300.6</v>
      </c>
      <c r="G243" s="2">
        <v>261.522</v>
      </c>
      <c r="H243" s="2">
        <v>27.0</v>
      </c>
      <c r="I243" s="2">
        <v>4609.0</v>
      </c>
      <c r="J243" s="2">
        <f t="shared" si="1"/>
        <v>0.87</v>
      </c>
      <c r="K243" s="2">
        <f t="shared" si="2"/>
        <v>0.87</v>
      </c>
      <c r="L243" s="2">
        <f t="shared" si="3"/>
        <v>34.8</v>
      </c>
      <c r="M243" s="2">
        <f t="shared" si="4"/>
        <v>0.08982035928</v>
      </c>
    </row>
    <row r="244" ht="15.75" customHeight="1">
      <c r="A244" s="3">
        <v>44957.0</v>
      </c>
      <c r="B244" s="2" t="s">
        <v>20</v>
      </c>
      <c r="C244" s="2" t="s">
        <v>21</v>
      </c>
      <c r="D244" s="2" t="s">
        <v>19</v>
      </c>
      <c r="E244" s="2">
        <v>2538.0</v>
      </c>
      <c r="F244" s="2">
        <v>50.76</v>
      </c>
      <c r="G244" s="2">
        <v>93.906</v>
      </c>
      <c r="H244" s="2">
        <v>6.0</v>
      </c>
      <c r="I244" s="2">
        <v>3730.0</v>
      </c>
      <c r="J244" s="2">
        <f t="shared" si="1"/>
        <v>1.85</v>
      </c>
      <c r="K244" s="2">
        <f t="shared" si="2"/>
        <v>1.85</v>
      </c>
      <c r="L244" s="2">
        <f t="shared" si="3"/>
        <v>37</v>
      </c>
      <c r="M244" s="2">
        <f t="shared" si="4"/>
        <v>0.1182033097</v>
      </c>
    </row>
    <row r="245" ht="15.75" customHeight="1">
      <c r="A245" s="3">
        <v>44957.0</v>
      </c>
      <c r="B245" s="2" t="s">
        <v>20</v>
      </c>
      <c r="C245" s="2" t="s">
        <v>23</v>
      </c>
      <c r="D245" s="2" t="s">
        <v>19</v>
      </c>
      <c r="E245" s="2">
        <v>3175.0</v>
      </c>
      <c r="F245" s="2">
        <v>127.0</v>
      </c>
      <c r="G245" s="2">
        <v>110.49</v>
      </c>
      <c r="H245" s="2">
        <v>8.0</v>
      </c>
      <c r="I245" s="2">
        <v>1812.0</v>
      </c>
      <c r="J245" s="2">
        <f t="shared" si="1"/>
        <v>0.87</v>
      </c>
      <c r="K245" s="2">
        <f t="shared" si="2"/>
        <v>0.87</v>
      </c>
      <c r="L245" s="2">
        <f t="shared" si="3"/>
        <v>34.8</v>
      </c>
      <c r="M245" s="2">
        <f t="shared" si="4"/>
        <v>0.06299212598</v>
      </c>
    </row>
    <row r="246" ht="15.75" customHeight="1">
      <c r="A246" s="3">
        <v>44957.0</v>
      </c>
      <c r="B246" s="2" t="s">
        <v>26</v>
      </c>
      <c r="C246" s="2" t="s">
        <v>27</v>
      </c>
      <c r="D246" s="2" t="s">
        <v>18</v>
      </c>
      <c r="E246" s="2">
        <v>8512.0</v>
      </c>
      <c r="F246" s="2">
        <v>851.2</v>
      </c>
      <c r="G246" s="2">
        <v>987.3919999999999</v>
      </c>
      <c r="H246" s="2">
        <v>77.0</v>
      </c>
      <c r="I246" s="2">
        <v>3262.0</v>
      </c>
      <c r="J246" s="2">
        <f t="shared" si="1"/>
        <v>1.16</v>
      </c>
      <c r="K246" s="2">
        <f t="shared" si="2"/>
        <v>1.16</v>
      </c>
      <c r="L246" s="2">
        <f t="shared" si="3"/>
        <v>116</v>
      </c>
      <c r="M246" s="2">
        <f t="shared" si="4"/>
        <v>0.09046052632</v>
      </c>
    </row>
    <row r="247" ht="15.75" customHeight="1">
      <c r="A247" s="3">
        <v>44957.0</v>
      </c>
      <c r="B247" s="2" t="s">
        <v>26</v>
      </c>
      <c r="C247" s="2" t="s">
        <v>31</v>
      </c>
      <c r="D247" s="2" t="s">
        <v>24</v>
      </c>
      <c r="E247" s="2">
        <v>11518.0</v>
      </c>
      <c r="F247" s="2">
        <v>345.53999999999996</v>
      </c>
      <c r="G247" s="2">
        <v>618.5165999999999</v>
      </c>
      <c r="H247" s="2">
        <v>45.0</v>
      </c>
      <c r="I247" s="2">
        <v>4583.0</v>
      </c>
      <c r="J247" s="2">
        <f t="shared" si="1"/>
        <v>1.79</v>
      </c>
      <c r="K247" s="2">
        <f t="shared" si="2"/>
        <v>1.79</v>
      </c>
      <c r="L247" s="2">
        <f t="shared" si="3"/>
        <v>53.7</v>
      </c>
      <c r="M247" s="2">
        <f t="shared" si="4"/>
        <v>0.1302309429</v>
      </c>
    </row>
    <row r="248" ht="15.75" customHeight="1">
      <c r="A248" s="3">
        <v>44957.0</v>
      </c>
      <c r="B248" s="2" t="s">
        <v>33</v>
      </c>
      <c r="C248" s="2" t="s">
        <v>34</v>
      </c>
      <c r="D248" s="2" t="s">
        <v>13</v>
      </c>
      <c r="E248" s="2">
        <v>3024.0</v>
      </c>
      <c r="F248" s="2">
        <v>302.40000000000003</v>
      </c>
      <c r="G248" s="2">
        <v>0.0</v>
      </c>
      <c r="H248" s="2">
        <v>21.0</v>
      </c>
      <c r="I248" s="2">
        <v>951.0</v>
      </c>
      <c r="J248" s="2">
        <f t="shared" si="1"/>
        <v>0</v>
      </c>
      <c r="K248" s="2">
        <f t="shared" si="2"/>
        <v>0</v>
      </c>
      <c r="L248" s="2">
        <f t="shared" si="3"/>
        <v>0</v>
      </c>
      <c r="M248" s="2">
        <f t="shared" si="4"/>
        <v>0.06944444444</v>
      </c>
    </row>
    <row r="249" ht="15.75" customHeight="1">
      <c r="A249" s="3">
        <v>44957.0</v>
      </c>
      <c r="B249" s="2" t="s">
        <v>33</v>
      </c>
      <c r="C249" s="2" t="s">
        <v>35</v>
      </c>
      <c r="D249" s="2" t="s">
        <v>18</v>
      </c>
      <c r="E249" s="2">
        <v>5010.0</v>
      </c>
      <c r="F249" s="2">
        <v>250.5</v>
      </c>
      <c r="G249" s="2">
        <v>0.0</v>
      </c>
      <c r="H249" s="2">
        <v>28.0</v>
      </c>
      <c r="I249" s="2">
        <v>2576.0</v>
      </c>
      <c r="J249" s="2">
        <f t="shared" si="1"/>
        <v>0</v>
      </c>
      <c r="K249" s="2">
        <f t="shared" si="2"/>
        <v>0</v>
      </c>
      <c r="L249" s="2">
        <f t="shared" si="3"/>
        <v>0</v>
      </c>
      <c r="M249" s="2">
        <f t="shared" si="4"/>
        <v>0.1117764471</v>
      </c>
    </row>
    <row r="250" ht="15.75" customHeight="1">
      <c r="A250" s="3">
        <v>44958.0</v>
      </c>
      <c r="B250" s="2" t="s">
        <v>14</v>
      </c>
      <c r="C250" s="2" t="s">
        <v>15</v>
      </c>
      <c r="D250" s="2" t="s">
        <v>19</v>
      </c>
      <c r="E250" s="2">
        <v>5985.0</v>
      </c>
      <c r="F250" s="2">
        <v>538.65</v>
      </c>
      <c r="G250" s="2">
        <v>603.288</v>
      </c>
      <c r="H250" s="2">
        <v>108.0</v>
      </c>
      <c r="I250" s="2">
        <v>1433.0</v>
      </c>
      <c r="J250" s="2">
        <f t="shared" si="1"/>
        <v>1.12</v>
      </c>
      <c r="K250" s="2">
        <f t="shared" si="2"/>
        <v>1.12</v>
      </c>
      <c r="L250" s="2">
        <f t="shared" si="3"/>
        <v>100.8</v>
      </c>
      <c r="M250" s="2">
        <f t="shared" si="4"/>
        <v>0.2005012531</v>
      </c>
    </row>
    <row r="251" ht="15.75" customHeight="1">
      <c r="A251" s="3">
        <v>44958.0</v>
      </c>
      <c r="B251" s="2" t="s">
        <v>14</v>
      </c>
      <c r="C251" s="2" t="s">
        <v>17</v>
      </c>
      <c r="D251" s="2" t="s">
        <v>28</v>
      </c>
      <c r="E251" s="2">
        <v>5101.0</v>
      </c>
      <c r="F251" s="2">
        <v>102.02</v>
      </c>
      <c r="G251" s="2">
        <v>117.323</v>
      </c>
      <c r="H251" s="2">
        <v>17.0</v>
      </c>
      <c r="I251" s="2">
        <v>3674.0</v>
      </c>
      <c r="J251" s="2">
        <f t="shared" si="1"/>
        <v>1.15</v>
      </c>
      <c r="K251" s="2">
        <f t="shared" si="2"/>
        <v>1.15</v>
      </c>
      <c r="L251" s="2">
        <f t="shared" si="3"/>
        <v>23</v>
      </c>
      <c r="M251" s="2">
        <f t="shared" si="4"/>
        <v>0.1666339933</v>
      </c>
    </row>
    <row r="252" ht="15.75" customHeight="1">
      <c r="A252" s="3">
        <v>44958.0</v>
      </c>
      <c r="B252" s="2" t="s">
        <v>20</v>
      </c>
      <c r="C252" s="2" t="s">
        <v>21</v>
      </c>
      <c r="D252" s="2" t="s">
        <v>24</v>
      </c>
      <c r="E252" s="2">
        <v>5627.0</v>
      </c>
      <c r="F252" s="2">
        <v>112.54</v>
      </c>
      <c r="G252" s="2">
        <v>37.138200000000005</v>
      </c>
      <c r="H252" s="2">
        <v>11.0</v>
      </c>
      <c r="I252" s="2">
        <v>4373.0</v>
      </c>
      <c r="J252" s="2">
        <f t="shared" si="1"/>
        <v>0.33</v>
      </c>
      <c r="K252" s="2">
        <f t="shared" si="2"/>
        <v>0.33</v>
      </c>
      <c r="L252" s="2">
        <f t="shared" si="3"/>
        <v>6.6</v>
      </c>
      <c r="M252" s="2">
        <f t="shared" si="4"/>
        <v>0.0977430247</v>
      </c>
    </row>
    <row r="253" ht="15.75" customHeight="1">
      <c r="A253" s="3">
        <v>44958.0</v>
      </c>
      <c r="B253" s="2" t="s">
        <v>20</v>
      </c>
      <c r="C253" s="2" t="s">
        <v>23</v>
      </c>
      <c r="D253" s="2" t="s">
        <v>19</v>
      </c>
      <c r="E253" s="2">
        <v>2846.0</v>
      </c>
      <c r="F253" s="2">
        <v>199.22000000000003</v>
      </c>
      <c r="G253" s="2">
        <v>155.39160000000004</v>
      </c>
      <c r="H253" s="2">
        <v>34.0</v>
      </c>
      <c r="I253" s="2">
        <v>2024.0</v>
      </c>
      <c r="J253" s="2">
        <f t="shared" si="1"/>
        <v>0.78</v>
      </c>
      <c r="K253" s="2">
        <f t="shared" si="2"/>
        <v>0.78</v>
      </c>
      <c r="L253" s="2">
        <f t="shared" si="3"/>
        <v>54.6</v>
      </c>
      <c r="M253" s="2">
        <f t="shared" si="4"/>
        <v>0.1706655958</v>
      </c>
    </row>
    <row r="254" ht="15.75" customHeight="1">
      <c r="A254" s="3">
        <v>44958.0</v>
      </c>
      <c r="B254" s="2" t="s">
        <v>26</v>
      </c>
      <c r="C254" s="2" t="s">
        <v>27</v>
      </c>
      <c r="D254" s="2" t="s">
        <v>22</v>
      </c>
      <c r="E254" s="2">
        <v>13089.0</v>
      </c>
      <c r="F254" s="2">
        <v>654.45</v>
      </c>
      <c r="G254" s="2">
        <v>700.2615000000001</v>
      </c>
      <c r="H254" s="2">
        <v>105.0</v>
      </c>
      <c r="I254" s="2">
        <v>4834.0</v>
      </c>
      <c r="J254" s="2">
        <f t="shared" si="1"/>
        <v>1.07</v>
      </c>
      <c r="K254" s="2">
        <f t="shared" si="2"/>
        <v>1.07</v>
      </c>
      <c r="L254" s="2">
        <f t="shared" si="3"/>
        <v>53.5</v>
      </c>
      <c r="M254" s="2">
        <f t="shared" si="4"/>
        <v>0.1604400642</v>
      </c>
    </row>
    <row r="255" ht="15.75" customHeight="1">
      <c r="A255" s="3">
        <v>44958.0</v>
      </c>
      <c r="B255" s="2" t="s">
        <v>26</v>
      </c>
      <c r="C255" s="2" t="s">
        <v>31</v>
      </c>
      <c r="D255" s="2" t="s">
        <v>16</v>
      </c>
      <c r="E255" s="2">
        <v>13172.0</v>
      </c>
      <c r="F255" s="2">
        <v>790.3199999999999</v>
      </c>
      <c r="G255" s="2">
        <v>592.74</v>
      </c>
      <c r="H255" s="2">
        <v>126.0</v>
      </c>
      <c r="I255" s="2">
        <v>1915.0</v>
      </c>
      <c r="J255" s="2">
        <f t="shared" si="1"/>
        <v>0.75</v>
      </c>
      <c r="K255" s="2">
        <f t="shared" si="2"/>
        <v>0.75</v>
      </c>
      <c r="L255" s="2">
        <f t="shared" si="3"/>
        <v>45</v>
      </c>
      <c r="M255" s="2">
        <f t="shared" si="4"/>
        <v>0.159429092</v>
      </c>
    </row>
    <row r="256" ht="15.75" customHeight="1">
      <c r="A256" s="3">
        <v>44958.0</v>
      </c>
      <c r="B256" s="2" t="s">
        <v>33</v>
      </c>
      <c r="C256" s="2" t="s">
        <v>34</v>
      </c>
      <c r="D256" s="2" t="s">
        <v>13</v>
      </c>
      <c r="E256" s="2">
        <v>5432.0</v>
      </c>
      <c r="F256" s="2">
        <v>108.64</v>
      </c>
      <c r="G256" s="2">
        <v>0.0</v>
      </c>
      <c r="H256" s="2">
        <v>21.0</v>
      </c>
      <c r="I256" s="2">
        <v>1892.0</v>
      </c>
      <c r="J256" s="2">
        <f t="shared" si="1"/>
        <v>0</v>
      </c>
      <c r="K256" s="2">
        <f t="shared" si="2"/>
        <v>0</v>
      </c>
      <c r="L256" s="2">
        <f t="shared" si="3"/>
        <v>0</v>
      </c>
      <c r="M256" s="2">
        <f t="shared" si="4"/>
        <v>0.1932989691</v>
      </c>
    </row>
    <row r="257" ht="15.75" customHeight="1">
      <c r="A257" s="3">
        <v>44958.0</v>
      </c>
      <c r="B257" s="2" t="s">
        <v>33</v>
      </c>
      <c r="C257" s="2" t="s">
        <v>35</v>
      </c>
      <c r="D257" s="2" t="s">
        <v>28</v>
      </c>
      <c r="E257" s="2">
        <v>3197.0</v>
      </c>
      <c r="F257" s="2">
        <v>287.72999999999996</v>
      </c>
      <c r="G257" s="2">
        <v>0.0</v>
      </c>
      <c r="H257" s="2">
        <v>46.0</v>
      </c>
      <c r="I257" s="2">
        <v>4493.0</v>
      </c>
      <c r="J257" s="2">
        <f t="shared" si="1"/>
        <v>0</v>
      </c>
      <c r="K257" s="2">
        <f t="shared" si="2"/>
        <v>0</v>
      </c>
      <c r="L257" s="2">
        <f t="shared" si="3"/>
        <v>0</v>
      </c>
      <c r="M257" s="2">
        <f t="shared" si="4"/>
        <v>0.1598721023</v>
      </c>
    </row>
    <row r="258" ht="15.75" customHeight="1">
      <c r="A258" s="3">
        <v>44959.0</v>
      </c>
      <c r="B258" s="2" t="s">
        <v>14</v>
      </c>
      <c r="C258" s="2" t="s">
        <v>15</v>
      </c>
      <c r="D258" s="2" t="s">
        <v>24</v>
      </c>
      <c r="E258" s="2">
        <v>8917.0</v>
      </c>
      <c r="F258" s="2">
        <v>713.36</v>
      </c>
      <c r="G258" s="2">
        <v>834.6311999999999</v>
      </c>
      <c r="H258" s="2">
        <v>128.0</v>
      </c>
      <c r="I258" s="2">
        <v>189.0</v>
      </c>
      <c r="J258" s="2">
        <f t="shared" si="1"/>
        <v>1.17</v>
      </c>
      <c r="K258" s="2">
        <f t="shared" si="2"/>
        <v>1.17</v>
      </c>
      <c r="L258" s="2">
        <f t="shared" si="3"/>
        <v>93.6</v>
      </c>
      <c r="M258" s="2">
        <f t="shared" si="4"/>
        <v>0.1794325446</v>
      </c>
    </row>
    <row r="259" ht="15.75" customHeight="1">
      <c r="A259" s="3">
        <v>44959.0</v>
      </c>
      <c r="B259" s="2" t="s">
        <v>14</v>
      </c>
      <c r="C259" s="2" t="s">
        <v>17</v>
      </c>
      <c r="D259" s="2" t="s">
        <v>22</v>
      </c>
      <c r="E259" s="2">
        <v>8128.0</v>
      </c>
      <c r="F259" s="2">
        <v>243.84</v>
      </c>
      <c r="G259" s="2">
        <v>314.5536</v>
      </c>
      <c r="H259" s="2">
        <v>34.0</v>
      </c>
      <c r="I259" s="2">
        <v>239.0</v>
      </c>
      <c r="J259" s="2">
        <f t="shared" si="1"/>
        <v>1.29</v>
      </c>
      <c r="K259" s="2">
        <f t="shared" si="2"/>
        <v>1.29</v>
      </c>
      <c r="L259" s="2">
        <f t="shared" si="3"/>
        <v>38.7</v>
      </c>
      <c r="M259" s="2">
        <f t="shared" si="4"/>
        <v>0.1394356955</v>
      </c>
    </row>
    <row r="260" ht="15.75" customHeight="1">
      <c r="A260" s="3">
        <v>44959.0</v>
      </c>
      <c r="B260" s="2" t="s">
        <v>20</v>
      </c>
      <c r="C260" s="2" t="s">
        <v>21</v>
      </c>
      <c r="D260" s="2" t="s">
        <v>13</v>
      </c>
      <c r="E260" s="2">
        <v>4108.0</v>
      </c>
      <c r="F260" s="2">
        <v>82.16</v>
      </c>
      <c r="G260" s="2">
        <v>36.972</v>
      </c>
      <c r="H260" s="2">
        <v>15.0</v>
      </c>
      <c r="I260" s="2">
        <v>1051.0</v>
      </c>
      <c r="J260" s="2">
        <f t="shared" si="1"/>
        <v>0.45</v>
      </c>
      <c r="K260" s="2">
        <f t="shared" si="2"/>
        <v>0.45</v>
      </c>
      <c r="L260" s="2">
        <f t="shared" si="3"/>
        <v>9</v>
      </c>
      <c r="M260" s="2">
        <f t="shared" si="4"/>
        <v>0.182570594</v>
      </c>
    </row>
    <row r="261" ht="15.75" customHeight="1">
      <c r="A261" s="3">
        <v>44959.0</v>
      </c>
      <c r="B261" s="2" t="s">
        <v>20</v>
      </c>
      <c r="C261" s="2" t="s">
        <v>23</v>
      </c>
      <c r="D261" s="2" t="s">
        <v>32</v>
      </c>
      <c r="E261" s="2">
        <v>5664.0</v>
      </c>
      <c r="F261" s="2">
        <v>283.2</v>
      </c>
      <c r="G261" s="2">
        <v>359.664</v>
      </c>
      <c r="H261" s="2">
        <v>31.0</v>
      </c>
      <c r="I261" s="2">
        <v>4220.0</v>
      </c>
      <c r="J261" s="2">
        <f t="shared" si="1"/>
        <v>1.27</v>
      </c>
      <c r="K261" s="2">
        <f t="shared" si="2"/>
        <v>1.27</v>
      </c>
      <c r="L261" s="2">
        <f t="shared" si="3"/>
        <v>63.5</v>
      </c>
      <c r="M261" s="2">
        <f t="shared" si="4"/>
        <v>0.1094632768</v>
      </c>
    </row>
    <row r="262" ht="15.75" customHeight="1">
      <c r="A262" s="3">
        <v>44959.0</v>
      </c>
      <c r="B262" s="2" t="s">
        <v>26</v>
      </c>
      <c r="C262" s="2" t="s">
        <v>27</v>
      </c>
      <c r="D262" s="2" t="s">
        <v>22</v>
      </c>
      <c r="E262" s="2">
        <v>9263.0</v>
      </c>
      <c r="F262" s="2">
        <v>648.4100000000001</v>
      </c>
      <c r="G262" s="2">
        <v>220.45940000000004</v>
      </c>
      <c r="H262" s="2">
        <v>39.0</v>
      </c>
      <c r="I262" s="2">
        <v>230.0</v>
      </c>
      <c r="J262" s="2">
        <f t="shared" si="1"/>
        <v>0.34</v>
      </c>
      <c r="K262" s="2">
        <f t="shared" si="2"/>
        <v>0.34</v>
      </c>
      <c r="L262" s="2">
        <f t="shared" si="3"/>
        <v>23.8</v>
      </c>
      <c r="M262" s="2">
        <f t="shared" si="4"/>
        <v>0.06014712913</v>
      </c>
    </row>
    <row r="263" ht="15.75" customHeight="1">
      <c r="A263" s="3">
        <v>44959.0</v>
      </c>
      <c r="B263" s="2" t="s">
        <v>26</v>
      </c>
      <c r="C263" s="2" t="s">
        <v>31</v>
      </c>
      <c r="D263" s="2" t="s">
        <v>18</v>
      </c>
      <c r="E263" s="2">
        <v>10872.0</v>
      </c>
      <c r="F263" s="2">
        <v>761.0400000000001</v>
      </c>
      <c r="G263" s="2">
        <v>1210.0536000000002</v>
      </c>
      <c r="H263" s="2">
        <v>68.0</v>
      </c>
      <c r="I263" s="2">
        <v>182.0</v>
      </c>
      <c r="J263" s="2">
        <f t="shared" si="1"/>
        <v>1.59</v>
      </c>
      <c r="K263" s="2">
        <f t="shared" si="2"/>
        <v>1.59</v>
      </c>
      <c r="L263" s="2">
        <f t="shared" si="3"/>
        <v>111.3</v>
      </c>
      <c r="M263" s="2">
        <f t="shared" si="4"/>
        <v>0.08935141385</v>
      </c>
    </row>
    <row r="264" ht="15.75" customHeight="1">
      <c r="A264" s="3">
        <v>44959.0</v>
      </c>
      <c r="B264" s="2" t="s">
        <v>33</v>
      </c>
      <c r="C264" s="2" t="s">
        <v>34</v>
      </c>
      <c r="D264" s="2" t="s">
        <v>24</v>
      </c>
      <c r="E264" s="2">
        <v>5481.0</v>
      </c>
      <c r="F264" s="2">
        <v>164.43</v>
      </c>
      <c r="G264" s="2">
        <v>0.0</v>
      </c>
      <c r="H264" s="2">
        <v>15.0</v>
      </c>
      <c r="I264" s="2">
        <v>125.0</v>
      </c>
      <c r="J264" s="2">
        <f t="shared" si="1"/>
        <v>0</v>
      </c>
      <c r="K264" s="2">
        <f t="shared" si="2"/>
        <v>0</v>
      </c>
      <c r="L264" s="2">
        <f t="shared" si="3"/>
        <v>0</v>
      </c>
      <c r="M264" s="2">
        <f t="shared" si="4"/>
        <v>0.09122422916</v>
      </c>
    </row>
    <row r="265" ht="15.75" customHeight="1">
      <c r="A265" s="3">
        <v>44959.0</v>
      </c>
      <c r="B265" s="2" t="s">
        <v>33</v>
      </c>
      <c r="C265" s="2" t="s">
        <v>35</v>
      </c>
      <c r="D265" s="2" t="s">
        <v>24</v>
      </c>
      <c r="E265" s="2">
        <v>5374.0</v>
      </c>
      <c r="F265" s="2">
        <v>376.18000000000006</v>
      </c>
      <c r="G265" s="2">
        <v>0.0</v>
      </c>
      <c r="H265" s="2">
        <v>45.0</v>
      </c>
      <c r="I265" s="2">
        <v>4419.0</v>
      </c>
      <c r="J265" s="2">
        <f t="shared" si="1"/>
        <v>0</v>
      </c>
      <c r="K265" s="2">
        <f t="shared" si="2"/>
        <v>0</v>
      </c>
      <c r="L265" s="2">
        <f t="shared" si="3"/>
        <v>0</v>
      </c>
      <c r="M265" s="2">
        <f t="shared" si="4"/>
        <v>0.1196235845</v>
      </c>
    </row>
    <row r="266" ht="15.75" customHeight="1">
      <c r="A266" s="3">
        <v>44960.0</v>
      </c>
      <c r="B266" s="2" t="s">
        <v>14</v>
      </c>
      <c r="C266" s="2" t="s">
        <v>15</v>
      </c>
      <c r="D266" s="2" t="s">
        <v>25</v>
      </c>
      <c r="E266" s="2">
        <v>10834.0</v>
      </c>
      <c r="F266" s="2">
        <v>433.36</v>
      </c>
      <c r="G266" s="2">
        <v>277.35040000000004</v>
      </c>
      <c r="H266" s="2">
        <v>26.0</v>
      </c>
      <c r="I266" s="2">
        <v>2007.0</v>
      </c>
      <c r="J266" s="2">
        <f t="shared" si="1"/>
        <v>0.64</v>
      </c>
      <c r="K266" s="2">
        <f t="shared" si="2"/>
        <v>0.64</v>
      </c>
      <c r="L266" s="2">
        <f t="shared" si="3"/>
        <v>25.6</v>
      </c>
      <c r="M266" s="2">
        <f t="shared" si="4"/>
        <v>0.05999630792</v>
      </c>
    </row>
    <row r="267" ht="15.75" customHeight="1">
      <c r="A267" s="3">
        <v>44960.0</v>
      </c>
      <c r="B267" s="2" t="s">
        <v>14</v>
      </c>
      <c r="C267" s="2" t="s">
        <v>17</v>
      </c>
      <c r="D267" s="2" t="s">
        <v>25</v>
      </c>
      <c r="E267" s="2">
        <v>10809.0</v>
      </c>
      <c r="F267" s="2">
        <v>324.27</v>
      </c>
      <c r="G267" s="2">
        <v>586.9286999999999</v>
      </c>
      <c r="H267" s="2">
        <v>16.0</v>
      </c>
      <c r="I267" s="2">
        <v>300.0</v>
      </c>
      <c r="J267" s="2">
        <f t="shared" si="1"/>
        <v>1.81</v>
      </c>
      <c r="K267" s="2">
        <f t="shared" si="2"/>
        <v>1.81</v>
      </c>
      <c r="L267" s="2">
        <f t="shared" si="3"/>
        <v>54.3</v>
      </c>
      <c r="M267" s="2">
        <f t="shared" si="4"/>
        <v>0.04934159805</v>
      </c>
    </row>
    <row r="268" ht="15.75" customHeight="1">
      <c r="A268" s="3">
        <v>44960.0</v>
      </c>
      <c r="B268" s="2" t="s">
        <v>20</v>
      </c>
      <c r="C268" s="2" t="s">
        <v>21</v>
      </c>
      <c r="D268" s="2" t="s">
        <v>18</v>
      </c>
      <c r="E268" s="2">
        <v>3226.0</v>
      </c>
      <c r="F268" s="2">
        <v>161.3</v>
      </c>
      <c r="G268" s="2">
        <v>212.91600000000003</v>
      </c>
      <c r="H268" s="2">
        <v>24.0</v>
      </c>
      <c r="I268" s="2">
        <v>4295.0</v>
      </c>
      <c r="J268" s="2">
        <f t="shared" si="1"/>
        <v>1.32</v>
      </c>
      <c r="K268" s="2">
        <f t="shared" si="2"/>
        <v>1.32</v>
      </c>
      <c r="L268" s="2">
        <f t="shared" si="3"/>
        <v>66</v>
      </c>
      <c r="M268" s="2">
        <f t="shared" si="4"/>
        <v>0.1487910725</v>
      </c>
    </row>
    <row r="269" ht="15.75" customHeight="1">
      <c r="A269" s="3">
        <v>44960.0</v>
      </c>
      <c r="B269" s="2" t="s">
        <v>20</v>
      </c>
      <c r="C269" s="2" t="s">
        <v>23</v>
      </c>
      <c r="D269" s="2" t="s">
        <v>25</v>
      </c>
      <c r="E269" s="2">
        <v>2000.0</v>
      </c>
      <c r="F269" s="2">
        <v>180.0</v>
      </c>
      <c r="G269" s="2">
        <v>86.39999999999999</v>
      </c>
      <c r="H269" s="2">
        <v>18.0</v>
      </c>
      <c r="I269" s="2">
        <v>1407.0</v>
      </c>
      <c r="J269" s="2">
        <f t="shared" si="1"/>
        <v>0.48</v>
      </c>
      <c r="K269" s="2">
        <f t="shared" si="2"/>
        <v>0.48</v>
      </c>
      <c r="L269" s="2">
        <f t="shared" si="3"/>
        <v>43.2</v>
      </c>
      <c r="M269" s="2">
        <f t="shared" si="4"/>
        <v>0.1</v>
      </c>
    </row>
    <row r="270" ht="15.75" customHeight="1">
      <c r="A270" s="3">
        <v>44960.0</v>
      </c>
      <c r="B270" s="2" t="s">
        <v>26</v>
      </c>
      <c r="C270" s="2" t="s">
        <v>27</v>
      </c>
      <c r="D270" s="2" t="s">
        <v>16</v>
      </c>
      <c r="E270" s="2">
        <v>12639.0</v>
      </c>
      <c r="F270" s="2">
        <v>379.16999999999996</v>
      </c>
      <c r="G270" s="2">
        <v>618.0470999999999</v>
      </c>
      <c r="H270" s="2">
        <v>68.0</v>
      </c>
      <c r="I270" s="2">
        <v>902.0</v>
      </c>
      <c r="J270" s="2">
        <f t="shared" si="1"/>
        <v>1.63</v>
      </c>
      <c r="K270" s="2">
        <f t="shared" si="2"/>
        <v>1.63</v>
      </c>
      <c r="L270" s="2">
        <f t="shared" si="3"/>
        <v>48.9</v>
      </c>
      <c r="M270" s="2">
        <f t="shared" si="4"/>
        <v>0.1793390827</v>
      </c>
    </row>
    <row r="271" ht="15.75" customHeight="1">
      <c r="A271" s="3">
        <v>44960.0</v>
      </c>
      <c r="B271" s="2" t="s">
        <v>26</v>
      </c>
      <c r="C271" s="2" t="s">
        <v>31</v>
      </c>
      <c r="D271" s="2" t="s">
        <v>25</v>
      </c>
      <c r="E271" s="2">
        <v>11239.0</v>
      </c>
      <c r="F271" s="2">
        <v>1123.9</v>
      </c>
      <c r="G271" s="2">
        <v>899.1200000000001</v>
      </c>
      <c r="H271" s="2">
        <v>90.0</v>
      </c>
      <c r="I271" s="2">
        <v>2959.0</v>
      </c>
      <c r="J271" s="2">
        <f t="shared" si="1"/>
        <v>0.8</v>
      </c>
      <c r="K271" s="2">
        <f t="shared" si="2"/>
        <v>0.8</v>
      </c>
      <c r="L271" s="2">
        <f t="shared" si="3"/>
        <v>80</v>
      </c>
      <c r="M271" s="2">
        <f t="shared" si="4"/>
        <v>0.08007829878</v>
      </c>
    </row>
    <row r="272" ht="15.75" customHeight="1">
      <c r="A272" s="3">
        <v>44960.0</v>
      </c>
      <c r="B272" s="2" t="s">
        <v>33</v>
      </c>
      <c r="C272" s="2" t="s">
        <v>34</v>
      </c>
      <c r="D272" s="2" t="s">
        <v>18</v>
      </c>
      <c r="E272" s="2">
        <v>3685.0</v>
      </c>
      <c r="F272" s="2">
        <v>73.7</v>
      </c>
      <c r="G272" s="2">
        <v>0.0</v>
      </c>
      <c r="H272" s="2">
        <v>13.0</v>
      </c>
      <c r="I272" s="2">
        <v>1185.0</v>
      </c>
      <c r="J272" s="2">
        <f t="shared" si="1"/>
        <v>0</v>
      </c>
      <c r="K272" s="2">
        <f t="shared" si="2"/>
        <v>0</v>
      </c>
      <c r="L272" s="2">
        <f t="shared" si="3"/>
        <v>0</v>
      </c>
      <c r="M272" s="2">
        <f t="shared" si="4"/>
        <v>0.1763907734</v>
      </c>
    </row>
    <row r="273" ht="15.75" customHeight="1">
      <c r="A273" s="3">
        <v>44960.0</v>
      </c>
      <c r="B273" s="2" t="s">
        <v>33</v>
      </c>
      <c r="C273" s="2" t="s">
        <v>35</v>
      </c>
      <c r="D273" s="2" t="s">
        <v>32</v>
      </c>
      <c r="E273" s="2">
        <v>2209.0</v>
      </c>
      <c r="F273" s="2">
        <v>154.63000000000002</v>
      </c>
      <c r="G273" s="2">
        <v>0.0</v>
      </c>
      <c r="H273" s="2">
        <v>20.0</v>
      </c>
      <c r="I273" s="2">
        <v>3627.0</v>
      </c>
      <c r="J273" s="2">
        <f t="shared" si="1"/>
        <v>0</v>
      </c>
      <c r="K273" s="2">
        <f t="shared" si="2"/>
        <v>0</v>
      </c>
      <c r="L273" s="2">
        <f t="shared" si="3"/>
        <v>0</v>
      </c>
      <c r="M273" s="2">
        <f t="shared" si="4"/>
        <v>0.1293410076</v>
      </c>
    </row>
    <row r="274" ht="15.75" customHeight="1">
      <c r="A274" s="3">
        <v>44961.0</v>
      </c>
      <c r="B274" s="2" t="s">
        <v>14</v>
      </c>
      <c r="C274" s="2" t="s">
        <v>15</v>
      </c>
      <c r="D274" s="2" t="s">
        <v>16</v>
      </c>
      <c r="E274" s="2">
        <v>5624.0</v>
      </c>
      <c r="F274" s="2">
        <v>562.4</v>
      </c>
      <c r="G274" s="2">
        <v>787.3599999999999</v>
      </c>
      <c r="H274" s="2">
        <v>96.0</v>
      </c>
      <c r="I274" s="2">
        <v>2160.0</v>
      </c>
      <c r="J274" s="2">
        <f t="shared" si="1"/>
        <v>1.4</v>
      </c>
      <c r="K274" s="2">
        <f t="shared" si="2"/>
        <v>1.4</v>
      </c>
      <c r="L274" s="2">
        <f t="shared" si="3"/>
        <v>140</v>
      </c>
      <c r="M274" s="2">
        <f t="shared" si="4"/>
        <v>0.1706970128</v>
      </c>
    </row>
    <row r="275" ht="15.75" customHeight="1">
      <c r="A275" s="3">
        <v>44961.0</v>
      </c>
      <c r="B275" s="2" t="s">
        <v>14</v>
      </c>
      <c r="C275" s="2" t="s">
        <v>17</v>
      </c>
      <c r="D275" s="2" t="s">
        <v>19</v>
      </c>
      <c r="E275" s="2">
        <v>9117.0</v>
      </c>
      <c r="F275" s="2">
        <v>729.36</v>
      </c>
      <c r="G275" s="2">
        <v>1057.572</v>
      </c>
      <c r="H275" s="2">
        <v>131.0</v>
      </c>
      <c r="I275" s="2">
        <v>1203.0</v>
      </c>
      <c r="J275" s="2">
        <f t="shared" si="1"/>
        <v>1.45</v>
      </c>
      <c r="K275" s="2">
        <f t="shared" si="2"/>
        <v>1.45</v>
      </c>
      <c r="L275" s="2">
        <f t="shared" si="3"/>
        <v>116</v>
      </c>
      <c r="M275" s="2">
        <f t="shared" si="4"/>
        <v>0.1796095207</v>
      </c>
    </row>
    <row r="276" ht="15.75" customHeight="1">
      <c r="A276" s="3">
        <v>44961.0</v>
      </c>
      <c r="B276" s="2" t="s">
        <v>20</v>
      </c>
      <c r="C276" s="2" t="s">
        <v>21</v>
      </c>
      <c r="D276" s="2" t="s">
        <v>13</v>
      </c>
      <c r="E276" s="2">
        <v>2673.0</v>
      </c>
      <c r="F276" s="2">
        <v>106.92</v>
      </c>
      <c r="G276" s="2">
        <v>57.7368</v>
      </c>
      <c r="H276" s="2">
        <v>21.0</v>
      </c>
      <c r="I276" s="2">
        <v>3490.0</v>
      </c>
      <c r="J276" s="2">
        <f t="shared" si="1"/>
        <v>0.54</v>
      </c>
      <c r="K276" s="2">
        <f t="shared" si="2"/>
        <v>0.54</v>
      </c>
      <c r="L276" s="2">
        <f t="shared" si="3"/>
        <v>21.6</v>
      </c>
      <c r="M276" s="2">
        <f t="shared" si="4"/>
        <v>0.1964085297</v>
      </c>
    </row>
    <row r="277" ht="15.75" customHeight="1">
      <c r="A277" s="3">
        <v>44961.0</v>
      </c>
      <c r="B277" s="2" t="s">
        <v>20</v>
      </c>
      <c r="C277" s="2" t="s">
        <v>23</v>
      </c>
      <c r="D277" s="2" t="s">
        <v>25</v>
      </c>
      <c r="E277" s="2">
        <v>2282.0</v>
      </c>
      <c r="F277" s="2">
        <v>114.10000000000001</v>
      </c>
      <c r="G277" s="2">
        <v>42.217000000000006</v>
      </c>
      <c r="H277" s="2">
        <v>9.0</v>
      </c>
      <c r="I277" s="2">
        <v>3093.0</v>
      </c>
      <c r="J277" s="2">
        <f t="shared" si="1"/>
        <v>0.37</v>
      </c>
      <c r="K277" s="2">
        <f t="shared" si="2"/>
        <v>0.37</v>
      </c>
      <c r="L277" s="2">
        <f t="shared" si="3"/>
        <v>18.5</v>
      </c>
      <c r="M277" s="2">
        <f t="shared" si="4"/>
        <v>0.07887817704</v>
      </c>
    </row>
    <row r="278" ht="15.75" customHeight="1">
      <c r="A278" s="3">
        <v>44961.0</v>
      </c>
      <c r="B278" s="2" t="s">
        <v>26</v>
      </c>
      <c r="C278" s="2" t="s">
        <v>27</v>
      </c>
      <c r="D278" s="2" t="s">
        <v>25</v>
      </c>
      <c r="E278" s="2">
        <v>9538.0</v>
      </c>
      <c r="F278" s="2">
        <v>858.42</v>
      </c>
      <c r="G278" s="2">
        <v>1030.1039999999998</v>
      </c>
      <c r="H278" s="2">
        <v>94.0</v>
      </c>
      <c r="I278" s="2">
        <v>4657.0</v>
      </c>
      <c r="J278" s="2">
        <f t="shared" si="1"/>
        <v>1.2</v>
      </c>
      <c r="K278" s="2">
        <f t="shared" si="2"/>
        <v>1.2</v>
      </c>
      <c r="L278" s="2">
        <f t="shared" si="3"/>
        <v>108</v>
      </c>
      <c r="M278" s="2">
        <f t="shared" si="4"/>
        <v>0.1095035064</v>
      </c>
    </row>
    <row r="279" ht="15.75" customHeight="1">
      <c r="A279" s="3">
        <v>44961.0</v>
      </c>
      <c r="B279" s="2" t="s">
        <v>26</v>
      </c>
      <c r="C279" s="2" t="s">
        <v>31</v>
      </c>
      <c r="D279" s="2" t="s">
        <v>30</v>
      </c>
      <c r="E279" s="2">
        <v>13757.0</v>
      </c>
      <c r="F279" s="2">
        <v>825.42</v>
      </c>
      <c r="G279" s="2">
        <v>858.4368</v>
      </c>
      <c r="H279" s="2">
        <v>124.0</v>
      </c>
      <c r="I279" s="2">
        <v>2404.0</v>
      </c>
      <c r="J279" s="2">
        <f t="shared" si="1"/>
        <v>1.04</v>
      </c>
      <c r="K279" s="2">
        <f t="shared" si="2"/>
        <v>1.04</v>
      </c>
      <c r="L279" s="2">
        <f t="shared" si="3"/>
        <v>62.4</v>
      </c>
      <c r="M279" s="2">
        <f t="shared" si="4"/>
        <v>0.1502265513</v>
      </c>
    </row>
    <row r="280" ht="15.75" customHeight="1">
      <c r="A280" s="3">
        <v>44961.0</v>
      </c>
      <c r="B280" s="2" t="s">
        <v>33</v>
      </c>
      <c r="C280" s="2" t="s">
        <v>34</v>
      </c>
      <c r="D280" s="2" t="s">
        <v>28</v>
      </c>
      <c r="E280" s="2">
        <v>3961.0</v>
      </c>
      <c r="F280" s="2">
        <v>237.66</v>
      </c>
      <c r="G280" s="2">
        <v>0.0</v>
      </c>
      <c r="H280" s="2">
        <v>33.0</v>
      </c>
      <c r="I280" s="2">
        <v>2395.0</v>
      </c>
      <c r="J280" s="2">
        <f t="shared" si="1"/>
        <v>0</v>
      </c>
      <c r="K280" s="2">
        <f t="shared" si="2"/>
        <v>0</v>
      </c>
      <c r="L280" s="2">
        <f t="shared" si="3"/>
        <v>0</v>
      </c>
      <c r="M280" s="2">
        <f t="shared" si="4"/>
        <v>0.1388538248</v>
      </c>
    </row>
    <row r="281" ht="15.75" customHeight="1">
      <c r="A281" s="3">
        <v>44961.0</v>
      </c>
      <c r="B281" s="2" t="s">
        <v>33</v>
      </c>
      <c r="C281" s="2" t="s">
        <v>35</v>
      </c>
      <c r="D281" s="2" t="s">
        <v>32</v>
      </c>
      <c r="E281" s="2">
        <v>2387.0</v>
      </c>
      <c r="F281" s="2">
        <v>214.82999999999998</v>
      </c>
      <c r="G281" s="2">
        <v>0.0</v>
      </c>
      <c r="H281" s="2">
        <v>28.0</v>
      </c>
      <c r="I281" s="2">
        <v>3860.0</v>
      </c>
      <c r="J281" s="2">
        <f t="shared" si="1"/>
        <v>0</v>
      </c>
      <c r="K281" s="2">
        <f t="shared" si="2"/>
        <v>0</v>
      </c>
      <c r="L281" s="2">
        <f t="shared" si="3"/>
        <v>0</v>
      </c>
      <c r="M281" s="2">
        <f t="shared" si="4"/>
        <v>0.1303356142</v>
      </c>
    </row>
    <row r="282" ht="15.75" customHeight="1">
      <c r="A282" s="3">
        <v>44962.0</v>
      </c>
      <c r="B282" s="2" t="s">
        <v>14</v>
      </c>
      <c r="C282" s="2" t="s">
        <v>15</v>
      </c>
      <c r="D282" s="2" t="s">
        <v>18</v>
      </c>
      <c r="E282" s="2">
        <v>5326.0</v>
      </c>
      <c r="F282" s="2">
        <v>319.56</v>
      </c>
      <c r="G282" s="2">
        <v>118.2372</v>
      </c>
      <c r="H282" s="2">
        <v>58.0</v>
      </c>
      <c r="I282" s="2">
        <v>387.0</v>
      </c>
      <c r="J282" s="2">
        <f t="shared" si="1"/>
        <v>0.37</v>
      </c>
      <c r="K282" s="2">
        <f t="shared" si="2"/>
        <v>0.37</v>
      </c>
      <c r="L282" s="2">
        <f t="shared" si="3"/>
        <v>22.2</v>
      </c>
      <c r="M282" s="2">
        <f t="shared" si="4"/>
        <v>0.1814995619</v>
      </c>
    </row>
    <row r="283" ht="15.75" customHeight="1">
      <c r="A283" s="3">
        <v>44962.0</v>
      </c>
      <c r="B283" s="2" t="s">
        <v>14</v>
      </c>
      <c r="C283" s="2" t="s">
        <v>17</v>
      </c>
      <c r="D283" s="2" t="s">
        <v>30</v>
      </c>
      <c r="E283" s="2">
        <v>8605.0</v>
      </c>
      <c r="F283" s="2">
        <v>774.4499999999999</v>
      </c>
      <c r="G283" s="2">
        <v>1231.3754999999999</v>
      </c>
      <c r="H283" s="2">
        <v>132.0</v>
      </c>
      <c r="I283" s="2">
        <v>2939.0</v>
      </c>
      <c r="J283" s="2">
        <f t="shared" si="1"/>
        <v>1.59</v>
      </c>
      <c r="K283" s="2">
        <f t="shared" si="2"/>
        <v>1.59</v>
      </c>
      <c r="L283" s="2">
        <f t="shared" si="3"/>
        <v>143.1</v>
      </c>
      <c r="M283" s="2">
        <f t="shared" si="4"/>
        <v>0.1704435406</v>
      </c>
    </row>
    <row r="284" ht="15.75" customHeight="1">
      <c r="A284" s="3">
        <v>44962.0</v>
      </c>
      <c r="B284" s="2" t="s">
        <v>20</v>
      </c>
      <c r="C284" s="2" t="s">
        <v>21</v>
      </c>
      <c r="D284" s="2" t="s">
        <v>22</v>
      </c>
      <c r="E284" s="2">
        <v>3184.0</v>
      </c>
      <c r="F284" s="2">
        <v>159.20000000000002</v>
      </c>
      <c r="G284" s="2">
        <v>120.99200000000002</v>
      </c>
      <c r="H284" s="2">
        <v>13.0</v>
      </c>
      <c r="I284" s="2">
        <v>4875.0</v>
      </c>
      <c r="J284" s="2">
        <f t="shared" si="1"/>
        <v>0.76</v>
      </c>
      <c r="K284" s="2">
        <f t="shared" si="2"/>
        <v>0.76</v>
      </c>
      <c r="L284" s="2">
        <f t="shared" si="3"/>
        <v>38</v>
      </c>
      <c r="M284" s="2">
        <f t="shared" si="4"/>
        <v>0.08165829146</v>
      </c>
    </row>
    <row r="285" ht="15.75" customHeight="1">
      <c r="A285" s="3">
        <v>44962.0</v>
      </c>
      <c r="B285" s="2" t="s">
        <v>20</v>
      </c>
      <c r="C285" s="2" t="s">
        <v>23</v>
      </c>
      <c r="D285" s="2" t="s">
        <v>18</v>
      </c>
      <c r="E285" s="2">
        <v>3174.0</v>
      </c>
      <c r="F285" s="2">
        <v>285.65999999999997</v>
      </c>
      <c r="G285" s="2">
        <v>279.94679999999994</v>
      </c>
      <c r="H285" s="2">
        <v>26.0</v>
      </c>
      <c r="I285" s="2">
        <v>715.0</v>
      </c>
      <c r="J285" s="2">
        <f t="shared" si="1"/>
        <v>0.98</v>
      </c>
      <c r="K285" s="2">
        <f t="shared" si="2"/>
        <v>0.98</v>
      </c>
      <c r="L285" s="2">
        <f t="shared" si="3"/>
        <v>88.2</v>
      </c>
      <c r="M285" s="2">
        <f t="shared" si="4"/>
        <v>0.09101729329</v>
      </c>
    </row>
    <row r="286" ht="15.75" customHeight="1">
      <c r="A286" s="3">
        <v>44962.0</v>
      </c>
      <c r="B286" s="2" t="s">
        <v>26</v>
      </c>
      <c r="C286" s="2" t="s">
        <v>27</v>
      </c>
      <c r="D286" s="2" t="s">
        <v>28</v>
      </c>
      <c r="E286" s="2">
        <v>8664.0</v>
      </c>
      <c r="F286" s="2">
        <v>606.48</v>
      </c>
      <c r="G286" s="2">
        <v>406.3416</v>
      </c>
      <c r="H286" s="2">
        <v>91.0</v>
      </c>
      <c r="I286" s="2">
        <v>1039.0</v>
      </c>
      <c r="J286" s="2">
        <f t="shared" si="1"/>
        <v>0.67</v>
      </c>
      <c r="K286" s="2">
        <f t="shared" si="2"/>
        <v>0.67</v>
      </c>
      <c r="L286" s="2">
        <f t="shared" si="3"/>
        <v>46.9</v>
      </c>
      <c r="M286" s="2">
        <f t="shared" si="4"/>
        <v>0.1500461681</v>
      </c>
    </row>
    <row r="287" ht="15.75" customHeight="1">
      <c r="A287" s="3">
        <v>44962.0</v>
      </c>
      <c r="B287" s="2" t="s">
        <v>26</v>
      </c>
      <c r="C287" s="2" t="s">
        <v>31</v>
      </c>
      <c r="D287" s="2" t="s">
        <v>19</v>
      </c>
      <c r="E287" s="2">
        <v>11658.0</v>
      </c>
      <c r="F287" s="2">
        <v>349.74</v>
      </c>
      <c r="G287" s="2">
        <v>339.2478</v>
      </c>
      <c r="H287" s="2">
        <v>70.0</v>
      </c>
      <c r="I287" s="2">
        <v>2454.0</v>
      </c>
      <c r="J287" s="2">
        <f t="shared" si="1"/>
        <v>0.97</v>
      </c>
      <c r="K287" s="2">
        <f t="shared" si="2"/>
        <v>0.97</v>
      </c>
      <c r="L287" s="2">
        <f t="shared" si="3"/>
        <v>29.1</v>
      </c>
      <c r="M287" s="2">
        <f t="shared" si="4"/>
        <v>0.2001486819</v>
      </c>
    </row>
    <row r="288" ht="15.75" customHeight="1">
      <c r="A288" s="3">
        <v>44962.0</v>
      </c>
      <c r="B288" s="2" t="s">
        <v>33</v>
      </c>
      <c r="C288" s="2" t="s">
        <v>34</v>
      </c>
      <c r="D288" s="2" t="s">
        <v>24</v>
      </c>
      <c r="E288" s="2">
        <v>2702.0</v>
      </c>
      <c r="F288" s="2">
        <v>270.2</v>
      </c>
      <c r="G288" s="2">
        <v>0.0</v>
      </c>
      <c r="H288" s="2">
        <v>16.0</v>
      </c>
      <c r="I288" s="2">
        <v>389.0</v>
      </c>
      <c r="J288" s="2">
        <f t="shared" si="1"/>
        <v>0</v>
      </c>
      <c r="K288" s="2">
        <f t="shared" si="2"/>
        <v>0</v>
      </c>
      <c r="L288" s="2">
        <f t="shared" si="3"/>
        <v>0</v>
      </c>
      <c r="M288" s="2">
        <f t="shared" si="4"/>
        <v>0.059215396</v>
      </c>
    </row>
    <row r="289" ht="15.75" customHeight="1">
      <c r="A289" s="3">
        <v>44962.0</v>
      </c>
      <c r="B289" s="2" t="s">
        <v>33</v>
      </c>
      <c r="C289" s="2" t="s">
        <v>35</v>
      </c>
      <c r="D289" s="2" t="s">
        <v>25</v>
      </c>
      <c r="E289" s="2">
        <v>2173.0</v>
      </c>
      <c r="F289" s="2">
        <v>86.92</v>
      </c>
      <c r="G289" s="2">
        <v>0.0</v>
      </c>
      <c r="H289" s="2">
        <v>15.0</v>
      </c>
      <c r="I289" s="2">
        <v>1489.0</v>
      </c>
      <c r="J289" s="2">
        <f t="shared" si="1"/>
        <v>0</v>
      </c>
      <c r="K289" s="2">
        <f t="shared" si="2"/>
        <v>0</v>
      </c>
      <c r="L289" s="2">
        <f t="shared" si="3"/>
        <v>0</v>
      </c>
      <c r="M289" s="2">
        <f t="shared" si="4"/>
        <v>0.1725724804</v>
      </c>
    </row>
    <row r="290" ht="15.75" customHeight="1">
      <c r="A290" s="3">
        <v>44963.0</v>
      </c>
      <c r="B290" s="2" t="s">
        <v>14</v>
      </c>
      <c r="C290" s="2" t="s">
        <v>15</v>
      </c>
      <c r="D290" s="2" t="s">
        <v>28</v>
      </c>
      <c r="E290" s="2">
        <v>8506.0</v>
      </c>
      <c r="F290" s="2">
        <v>765.54</v>
      </c>
      <c r="G290" s="2">
        <v>1217.2086</v>
      </c>
      <c r="H290" s="2">
        <v>107.0</v>
      </c>
      <c r="I290" s="2">
        <v>2559.0</v>
      </c>
      <c r="J290" s="2">
        <f t="shared" si="1"/>
        <v>1.59</v>
      </c>
      <c r="K290" s="2">
        <f t="shared" si="2"/>
        <v>1.59</v>
      </c>
      <c r="L290" s="2">
        <f t="shared" si="3"/>
        <v>143.1</v>
      </c>
      <c r="M290" s="2">
        <f t="shared" si="4"/>
        <v>0.1397706194</v>
      </c>
    </row>
    <row r="291" ht="15.75" customHeight="1">
      <c r="A291" s="3">
        <v>44963.0</v>
      </c>
      <c r="B291" s="2" t="s">
        <v>14</v>
      </c>
      <c r="C291" s="2" t="s">
        <v>17</v>
      </c>
      <c r="D291" s="2" t="s">
        <v>24</v>
      </c>
      <c r="E291" s="2">
        <v>10051.0</v>
      </c>
      <c r="F291" s="2">
        <v>402.04</v>
      </c>
      <c r="G291" s="2">
        <v>410.0808</v>
      </c>
      <c r="H291" s="2">
        <v>56.0</v>
      </c>
      <c r="I291" s="2">
        <v>2794.0</v>
      </c>
      <c r="J291" s="2">
        <f t="shared" si="1"/>
        <v>1.02</v>
      </c>
      <c r="K291" s="2">
        <f t="shared" si="2"/>
        <v>1.02</v>
      </c>
      <c r="L291" s="2">
        <f t="shared" si="3"/>
        <v>40.8</v>
      </c>
      <c r="M291" s="2">
        <f t="shared" si="4"/>
        <v>0.1392896229</v>
      </c>
    </row>
    <row r="292" ht="15.75" customHeight="1">
      <c r="A292" s="3">
        <v>44963.0</v>
      </c>
      <c r="B292" s="2" t="s">
        <v>20</v>
      </c>
      <c r="C292" s="2" t="s">
        <v>21</v>
      </c>
      <c r="D292" s="2" t="s">
        <v>22</v>
      </c>
      <c r="E292" s="2">
        <v>5740.0</v>
      </c>
      <c r="F292" s="2">
        <v>114.8</v>
      </c>
      <c r="G292" s="2">
        <v>219.26799999999997</v>
      </c>
      <c r="H292" s="2">
        <v>7.0</v>
      </c>
      <c r="I292" s="2">
        <v>4792.0</v>
      </c>
      <c r="J292" s="2">
        <f t="shared" si="1"/>
        <v>1.91</v>
      </c>
      <c r="K292" s="2">
        <f t="shared" si="2"/>
        <v>1.91</v>
      </c>
      <c r="L292" s="2">
        <f t="shared" si="3"/>
        <v>38.2</v>
      </c>
      <c r="M292" s="2">
        <f t="shared" si="4"/>
        <v>0.06097560976</v>
      </c>
    </row>
    <row r="293" ht="15.75" customHeight="1">
      <c r="A293" s="3">
        <v>44963.0</v>
      </c>
      <c r="B293" s="2" t="s">
        <v>20</v>
      </c>
      <c r="C293" s="2" t="s">
        <v>23</v>
      </c>
      <c r="D293" s="2" t="s">
        <v>30</v>
      </c>
      <c r="E293" s="2">
        <v>3956.0</v>
      </c>
      <c r="F293" s="2">
        <v>158.24</v>
      </c>
      <c r="G293" s="2">
        <v>50.6368</v>
      </c>
      <c r="H293" s="2">
        <v>14.0</v>
      </c>
      <c r="I293" s="2">
        <v>3967.0</v>
      </c>
      <c r="J293" s="2">
        <f t="shared" si="1"/>
        <v>0.32</v>
      </c>
      <c r="K293" s="2">
        <f t="shared" si="2"/>
        <v>0.32</v>
      </c>
      <c r="L293" s="2">
        <f t="shared" si="3"/>
        <v>12.8</v>
      </c>
      <c r="M293" s="2">
        <f t="shared" si="4"/>
        <v>0.08847320526</v>
      </c>
    </row>
    <row r="294" ht="15.75" customHeight="1">
      <c r="A294" s="3">
        <v>44963.0</v>
      </c>
      <c r="B294" s="2" t="s">
        <v>26</v>
      </c>
      <c r="C294" s="2" t="s">
        <v>27</v>
      </c>
      <c r="D294" s="2" t="s">
        <v>16</v>
      </c>
      <c r="E294" s="2">
        <v>14143.0</v>
      </c>
      <c r="F294" s="2">
        <v>707.1500000000001</v>
      </c>
      <c r="G294" s="2">
        <v>770.7935000000001</v>
      </c>
      <c r="H294" s="2">
        <v>71.0</v>
      </c>
      <c r="I294" s="2">
        <v>2322.0</v>
      </c>
      <c r="J294" s="2">
        <f t="shared" si="1"/>
        <v>1.09</v>
      </c>
      <c r="K294" s="2">
        <f t="shared" si="2"/>
        <v>1.09</v>
      </c>
      <c r="L294" s="2">
        <f t="shared" si="3"/>
        <v>54.5</v>
      </c>
      <c r="M294" s="2">
        <f t="shared" si="4"/>
        <v>0.1004030262</v>
      </c>
    </row>
    <row r="295" ht="15.75" customHeight="1">
      <c r="A295" s="3">
        <v>44963.0</v>
      </c>
      <c r="B295" s="2" t="s">
        <v>26</v>
      </c>
      <c r="C295" s="2" t="s">
        <v>31</v>
      </c>
      <c r="D295" s="2" t="s">
        <v>13</v>
      </c>
      <c r="E295" s="2">
        <v>8996.0</v>
      </c>
      <c r="F295" s="2">
        <v>539.76</v>
      </c>
      <c r="G295" s="2">
        <v>221.30159999999998</v>
      </c>
      <c r="H295" s="2">
        <v>97.0</v>
      </c>
      <c r="I295" s="2">
        <v>3566.0</v>
      </c>
      <c r="J295" s="2">
        <f t="shared" si="1"/>
        <v>0.41</v>
      </c>
      <c r="K295" s="2">
        <f t="shared" si="2"/>
        <v>0.41</v>
      </c>
      <c r="L295" s="2">
        <f t="shared" si="3"/>
        <v>24.6</v>
      </c>
      <c r="M295" s="2">
        <f t="shared" si="4"/>
        <v>0.1797095005</v>
      </c>
    </row>
    <row r="296" ht="15.75" customHeight="1">
      <c r="A296" s="3">
        <v>44963.0</v>
      </c>
      <c r="B296" s="2" t="s">
        <v>33</v>
      </c>
      <c r="C296" s="2" t="s">
        <v>34</v>
      </c>
      <c r="D296" s="2" t="s">
        <v>16</v>
      </c>
      <c r="E296" s="2">
        <v>5891.0</v>
      </c>
      <c r="F296" s="2">
        <v>530.1899999999999</v>
      </c>
      <c r="G296" s="2">
        <v>0.0</v>
      </c>
      <c r="H296" s="2">
        <v>27.0</v>
      </c>
      <c r="I296" s="2">
        <v>4325.0</v>
      </c>
      <c r="J296" s="2">
        <f t="shared" si="1"/>
        <v>0</v>
      </c>
      <c r="K296" s="2">
        <f t="shared" si="2"/>
        <v>0</v>
      </c>
      <c r="L296" s="2">
        <f t="shared" si="3"/>
        <v>0</v>
      </c>
      <c r="M296" s="2">
        <f t="shared" si="4"/>
        <v>0.05092514004</v>
      </c>
    </row>
    <row r="297" ht="15.75" customHeight="1">
      <c r="A297" s="3">
        <v>44963.0</v>
      </c>
      <c r="B297" s="2" t="s">
        <v>33</v>
      </c>
      <c r="C297" s="2" t="s">
        <v>35</v>
      </c>
      <c r="D297" s="2" t="s">
        <v>30</v>
      </c>
      <c r="E297" s="2">
        <v>5286.0</v>
      </c>
      <c r="F297" s="2">
        <v>264.3</v>
      </c>
      <c r="G297" s="2">
        <v>0.0</v>
      </c>
      <c r="H297" s="2">
        <v>19.0</v>
      </c>
      <c r="I297" s="2">
        <v>520.0</v>
      </c>
      <c r="J297" s="2">
        <f t="shared" si="1"/>
        <v>0</v>
      </c>
      <c r="K297" s="2">
        <f t="shared" si="2"/>
        <v>0</v>
      </c>
      <c r="L297" s="2">
        <f t="shared" si="3"/>
        <v>0</v>
      </c>
      <c r="M297" s="2">
        <f t="shared" si="4"/>
        <v>0.07188800605</v>
      </c>
    </row>
    <row r="298" ht="15.75" customHeight="1">
      <c r="A298" s="3">
        <v>44964.0</v>
      </c>
      <c r="B298" s="2" t="s">
        <v>14</v>
      </c>
      <c r="C298" s="2" t="s">
        <v>15</v>
      </c>
      <c r="D298" s="2" t="s">
        <v>18</v>
      </c>
      <c r="E298" s="2">
        <v>6750.0</v>
      </c>
      <c r="F298" s="2">
        <v>270.0</v>
      </c>
      <c r="G298" s="2">
        <v>94.5</v>
      </c>
      <c r="H298" s="2">
        <v>43.0</v>
      </c>
      <c r="I298" s="2">
        <v>2972.0</v>
      </c>
      <c r="J298" s="2">
        <f t="shared" si="1"/>
        <v>0.35</v>
      </c>
      <c r="K298" s="2">
        <f t="shared" si="2"/>
        <v>0.35</v>
      </c>
      <c r="L298" s="2">
        <f t="shared" si="3"/>
        <v>14</v>
      </c>
      <c r="M298" s="2">
        <f t="shared" si="4"/>
        <v>0.1592592593</v>
      </c>
    </row>
    <row r="299" ht="15.75" customHeight="1">
      <c r="A299" s="3">
        <v>44964.0</v>
      </c>
      <c r="B299" s="2" t="s">
        <v>14</v>
      </c>
      <c r="C299" s="2" t="s">
        <v>17</v>
      </c>
      <c r="D299" s="2" t="s">
        <v>28</v>
      </c>
      <c r="E299" s="2">
        <v>8297.0</v>
      </c>
      <c r="F299" s="2">
        <v>248.91</v>
      </c>
      <c r="G299" s="2">
        <v>378.3432</v>
      </c>
      <c r="H299" s="2">
        <v>15.0</v>
      </c>
      <c r="I299" s="2">
        <v>2219.0</v>
      </c>
      <c r="J299" s="2">
        <f t="shared" si="1"/>
        <v>1.52</v>
      </c>
      <c r="K299" s="2">
        <f t="shared" si="2"/>
        <v>1.52</v>
      </c>
      <c r="L299" s="2">
        <f t="shared" si="3"/>
        <v>45.6</v>
      </c>
      <c r="M299" s="2">
        <f t="shared" si="4"/>
        <v>0.06026274557</v>
      </c>
    </row>
    <row r="300" ht="15.75" customHeight="1">
      <c r="A300" s="3">
        <v>44964.0</v>
      </c>
      <c r="B300" s="2" t="s">
        <v>20</v>
      </c>
      <c r="C300" s="2" t="s">
        <v>21</v>
      </c>
      <c r="D300" s="2" t="s">
        <v>16</v>
      </c>
      <c r="E300" s="2">
        <v>4712.0</v>
      </c>
      <c r="F300" s="2">
        <v>424.08</v>
      </c>
      <c r="G300" s="2">
        <v>483.4511999999999</v>
      </c>
      <c r="H300" s="2">
        <v>47.0</v>
      </c>
      <c r="I300" s="2">
        <v>4521.0</v>
      </c>
      <c r="J300" s="2">
        <f t="shared" si="1"/>
        <v>1.14</v>
      </c>
      <c r="K300" s="2">
        <f t="shared" si="2"/>
        <v>1.14</v>
      </c>
      <c r="L300" s="2">
        <f t="shared" si="3"/>
        <v>102.6</v>
      </c>
      <c r="M300" s="2">
        <f t="shared" si="4"/>
        <v>0.1108281456</v>
      </c>
    </row>
    <row r="301" ht="15.75" customHeight="1">
      <c r="A301" s="3">
        <v>44964.0</v>
      </c>
      <c r="B301" s="2" t="s">
        <v>20</v>
      </c>
      <c r="C301" s="2" t="s">
        <v>23</v>
      </c>
      <c r="D301" s="2" t="s">
        <v>19</v>
      </c>
      <c r="E301" s="2">
        <v>2921.0</v>
      </c>
      <c r="F301" s="2">
        <v>262.89</v>
      </c>
      <c r="G301" s="2">
        <v>176.1363</v>
      </c>
      <c r="H301" s="2">
        <v>47.0</v>
      </c>
      <c r="I301" s="2">
        <v>4302.0</v>
      </c>
      <c r="J301" s="2">
        <f t="shared" si="1"/>
        <v>0.67</v>
      </c>
      <c r="K301" s="2">
        <f t="shared" si="2"/>
        <v>0.67</v>
      </c>
      <c r="L301" s="2">
        <f t="shared" si="3"/>
        <v>60.3</v>
      </c>
      <c r="M301" s="2">
        <f t="shared" si="4"/>
        <v>0.1787820001</v>
      </c>
    </row>
    <row r="302" ht="15.75" customHeight="1">
      <c r="A302" s="3">
        <v>44964.0</v>
      </c>
      <c r="B302" s="2" t="s">
        <v>26</v>
      </c>
      <c r="C302" s="2" t="s">
        <v>27</v>
      </c>
      <c r="D302" s="2" t="s">
        <v>19</v>
      </c>
      <c r="E302" s="2">
        <v>11153.0</v>
      </c>
      <c r="F302" s="2">
        <v>892.24</v>
      </c>
      <c r="G302" s="2">
        <v>1115.3</v>
      </c>
      <c r="H302" s="2">
        <v>98.0</v>
      </c>
      <c r="I302" s="2">
        <v>1961.0</v>
      </c>
      <c r="J302" s="2">
        <f t="shared" si="1"/>
        <v>1.25</v>
      </c>
      <c r="K302" s="2">
        <f t="shared" si="2"/>
        <v>1.25</v>
      </c>
      <c r="L302" s="2">
        <f t="shared" si="3"/>
        <v>100</v>
      </c>
      <c r="M302" s="2">
        <f t="shared" si="4"/>
        <v>0.1098359186</v>
      </c>
    </row>
    <row r="303" ht="15.75" customHeight="1">
      <c r="A303" s="3">
        <v>44964.0</v>
      </c>
      <c r="B303" s="2" t="s">
        <v>26</v>
      </c>
      <c r="C303" s="2" t="s">
        <v>31</v>
      </c>
      <c r="D303" s="2" t="s">
        <v>19</v>
      </c>
      <c r="E303" s="2">
        <v>14402.0</v>
      </c>
      <c r="F303" s="2">
        <v>1008.1400000000001</v>
      </c>
      <c r="G303" s="2">
        <v>1320.6634000000001</v>
      </c>
      <c r="H303" s="2">
        <v>192.0</v>
      </c>
      <c r="I303" s="2">
        <v>2459.0</v>
      </c>
      <c r="J303" s="2">
        <f t="shared" si="1"/>
        <v>1.31</v>
      </c>
      <c r="K303" s="2">
        <f t="shared" si="2"/>
        <v>1.31</v>
      </c>
      <c r="L303" s="2">
        <f t="shared" si="3"/>
        <v>91.7</v>
      </c>
      <c r="M303" s="2">
        <f t="shared" si="4"/>
        <v>0.1904497391</v>
      </c>
    </row>
    <row r="304" ht="15.75" customHeight="1">
      <c r="A304" s="3">
        <v>44964.0</v>
      </c>
      <c r="B304" s="2" t="s">
        <v>33</v>
      </c>
      <c r="C304" s="2" t="s">
        <v>34</v>
      </c>
      <c r="D304" s="2" t="s">
        <v>22</v>
      </c>
      <c r="E304" s="2">
        <v>5960.0</v>
      </c>
      <c r="F304" s="2">
        <v>476.8</v>
      </c>
      <c r="G304" s="2">
        <v>0.0</v>
      </c>
      <c r="H304" s="2">
        <v>43.0</v>
      </c>
      <c r="I304" s="2">
        <v>4820.0</v>
      </c>
      <c r="J304" s="2">
        <f t="shared" si="1"/>
        <v>0</v>
      </c>
      <c r="K304" s="2">
        <f t="shared" si="2"/>
        <v>0</v>
      </c>
      <c r="L304" s="2">
        <f t="shared" si="3"/>
        <v>0</v>
      </c>
      <c r="M304" s="2">
        <f t="shared" si="4"/>
        <v>0.09018456376</v>
      </c>
    </row>
    <row r="305" ht="15.75" customHeight="1">
      <c r="A305" s="3">
        <v>44964.0</v>
      </c>
      <c r="B305" s="2" t="s">
        <v>33</v>
      </c>
      <c r="C305" s="2" t="s">
        <v>35</v>
      </c>
      <c r="D305" s="2" t="s">
        <v>18</v>
      </c>
      <c r="E305" s="2">
        <v>2464.0</v>
      </c>
      <c r="F305" s="2">
        <v>123.2</v>
      </c>
      <c r="G305" s="2">
        <v>0.0</v>
      </c>
      <c r="H305" s="2">
        <v>23.0</v>
      </c>
      <c r="I305" s="2">
        <v>3086.0</v>
      </c>
      <c r="J305" s="2">
        <f t="shared" si="1"/>
        <v>0</v>
      </c>
      <c r="K305" s="2">
        <f t="shared" si="2"/>
        <v>0</v>
      </c>
      <c r="L305" s="2">
        <f t="shared" si="3"/>
        <v>0</v>
      </c>
      <c r="M305" s="2">
        <f t="shared" si="4"/>
        <v>0.1866883117</v>
      </c>
    </row>
    <row r="306" ht="15.75" customHeight="1">
      <c r="A306" s="3">
        <v>44965.0</v>
      </c>
      <c r="B306" s="2" t="s">
        <v>14</v>
      </c>
      <c r="C306" s="2" t="s">
        <v>15</v>
      </c>
      <c r="D306" s="2" t="s">
        <v>24</v>
      </c>
      <c r="E306" s="2">
        <v>5807.0</v>
      </c>
      <c r="F306" s="2">
        <v>406.49000000000007</v>
      </c>
      <c r="G306" s="2">
        <v>508.11250000000007</v>
      </c>
      <c r="H306" s="2">
        <v>45.0</v>
      </c>
      <c r="I306" s="2">
        <v>1745.0</v>
      </c>
      <c r="J306" s="2">
        <f t="shared" si="1"/>
        <v>1.25</v>
      </c>
      <c r="K306" s="2">
        <f t="shared" si="2"/>
        <v>1.25</v>
      </c>
      <c r="L306" s="2">
        <f t="shared" si="3"/>
        <v>87.5</v>
      </c>
      <c r="M306" s="2">
        <f t="shared" si="4"/>
        <v>0.1107038304</v>
      </c>
    </row>
    <row r="307" ht="15.75" customHeight="1">
      <c r="A307" s="3">
        <v>44965.0</v>
      </c>
      <c r="B307" s="2" t="s">
        <v>14</v>
      </c>
      <c r="C307" s="2" t="s">
        <v>17</v>
      </c>
      <c r="D307" s="2" t="s">
        <v>24</v>
      </c>
      <c r="E307" s="2">
        <v>8635.0</v>
      </c>
      <c r="F307" s="2">
        <v>777.15</v>
      </c>
      <c r="G307" s="2">
        <v>450.74699999999996</v>
      </c>
      <c r="H307" s="2">
        <v>124.0</v>
      </c>
      <c r="I307" s="2">
        <v>1980.0</v>
      </c>
      <c r="J307" s="2">
        <f t="shared" si="1"/>
        <v>0.58</v>
      </c>
      <c r="K307" s="2">
        <f t="shared" si="2"/>
        <v>0.58</v>
      </c>
      <c r="L307" s="2">
        <f t="shared" si="3"/>
        <v>52.2</v>
      </c>
      <c r="M307" s="2">
        <f t="shared" si="4"/>
        <v>0.159557357</v>
      </c>
    </row>
    <row r="308" ht="15.75" customHeight="1">
      <c r="A308" s="3">
        <v>44965.0</v>
      </c>
      <c r="B308" s="2" t="s">
        <v>20</v>
      </c>
      <c r="C308" s="2" t="s">
        <v>21</v>
      </c>
      <c r="D308" s="2" t="s">
        <v>22</v>
      </c>
      <c r="E308" s="2">
        <v>3949.0</v>
      </c>
      <c r="F308" s="2">
        <v>315.92</v>
      </c>
      <c r="G308" s="2">
        <v>404.37760000000003</v>
      </c>
      <c r="H308" s="2">
        <v>51.0</v>
      </c>
      <c r="I308" s="2">
        <v>4736.0</v>
      </c>
      <c r="J308" s="2">
        <f t="shared" si="1"/>
        <v>1.28</v>
      </c>
      <c r="K308" s="2">
        <f t="shared" si="2"/>
        <v>1.28</v>
      </c>
      <c r="L308" s="2">
        <f t="shared" si="3"/>
        <v>102.4</v>
      </c>
      <c r="M308" s="2">
        <f t="shared" si="4"/>
        <v>0.1614332742</v>
      </c>
    </row>
    <row r="309" ht="15.75" customHeight="1">
      <c r="A309" s="3">
        <v>44965.0</v>
      </c>
      <c r="B309" s="2" t="s">
        <v>20</v>
      </c>
      <c r="C309" s="2" t="s">
        <v>23</v>
      </c>
      <c r="D309" s="2" t="s">
        <v>25</v>
      </c>
      <c r="E309" s="2">
        <v>3810.0</v>
      </c>
      <c r="F309" s="2">
        <v>190.5</v>
      </c>
      <c r="G309" s="2">
        <v>323.84999999999997</v>
      </c>
      <c r="H309" s="2">
        <v>15.0</v>
      </c>
      <c r="I309" s="2">
        <v>126.0</v>
      </c>
      <c r="J309" s="2">
        <f t="shared" si="1"/>
        <v>1.7</v>
      </c>
      <c r="K309" s="2">
        <f t="shared" si="2"/>
        <v>1.7</v>
      </c>
      <c r="L309" s="2">
        <f t="shared" si="3"/>
        <v>85</v>
      </c>
      <c r="M309" s="2">
        <f t="shared" si="4"/>
        <v>0.07874015748</v>
      </c>
    </row>
    <row r="310" ht="15.75" customHeight="1">
      <c r="A310" s="3">
        <v>44965.0</v>
      </c>
      <c r="B310" s="2" t="s">
        <v>26</v>
      </c>
      <c r="C310" s="2" t="s">
        <v>27</v>
      </c>
      <c r="D310" s="2" t="s">
        <v>22</v>
      </c>
      <c r="E310" s="2">
        <v>9007.0</v>
      </c>
      <c r="F310" s="2">
        <v>270.21</v>
      </c>
      <c r="G310" s="2">
        <v>372.8897999999999</v>
      </c>
      <c r="H310" s="2">
        <v>46.0</v>
      </c>
      <c r="I310" s="2">
        <v>634.0</v>
      </c>
      <c r="J310" s="2">
        <f t="shared" si="1"/>
        <v>1.38</v>
      </c>
      <c r="K310" s="2">
        <f t="shared" si="2"/>
        <v>1.38</v>
      </c>
      <c r="L310" s="2">
        <f t="shared" si="3"/>
        <v>41.4</v>
      </c>
      <c r="M310" s="2">
        <f t="shared" si="4"/>
        <v>0.1702379631</v>
      </c>
    </row>
    <row r="311" ht="15.75" customHeight="1">
      <c r="A311" s="3">
        <v>44965.0</v>
      </c>
      <c r="B311" s="2" t="s">
        <v>26</v>
      </c>
      <c r="C311" s="2" t="s">
        <v>31</v>
      </c>
      <c r="D311" s="2" t="s">
        <v>30</v>
      </c>
      <c r="E311" s="2">
        <v>8578.0</v>
      </c>
      <c r="F311" s="2">
        <v>600.46</v>
      </c>
      <c r="G311" s="2">
        <v>582.4462</v>
      </c>
      <c r="H311" s="2">
        <v>114.0</v>
      </c>
      <c r="I311" s="2">
        <v>1652.0</v>
      </c>
      <c r="J311" s="2">
        <f t="shared" si="1"/>
        <v>0.97</v>
      </c>
      <c r="K311" s="2">
        <f t="shared" si="2"/>
        <v>0.97</v>
      </c>
      <c r="L311" s="2">
        <f t="shared" si="3"/>
        <v>67.9</v>
      </c>
      <c r="M311" s="2">
        <f t="shared" si="4"/>
        <v>0.1898544449</v>
      </c>
    </row>
    <row r="312" ht="15.75" customHeight="1">
      <c r="A312" s="3">
        <v>44965.0</v>
      </c>
      <c r="B312" s="2" t="s">
        <v>33</v>
      </c>
      <c r="C312" s="2" t="s">
        <v>34</v>
      </c>
      <c r="D312" s="2" t="s">
        <v>18</v>
      </c>
      <c r="E312" s="2">
        <v>2054.0</v>
      </c>
      <c r="F312" s="2">
        <v>184.85999999999999</v>
      </c>
      <c r="G312" s="2">
        <v>0.0</v>
      </c>
      <c r="H312" s="2">
        <v>13.0</v>
      </c>
      <c r="I312" s="2">
        <v>3661.0</v>
      </c>
      <c r="J312" s="2">
        <f t="shared" si="1"/>
        <v>0</v>
      </c>
      <c r="K312" s="2">
        <f t="shared" si="2"/>
        <v>0</v>
      </c>
      <c r="L312" s="2">
        <f t="shared" si="3"/>
        <v>0</v>
      </c>
      <c r="M312" s="2">
        <f t="shared" si="4"/>
        <v>0.07032348805</v>
      </c>
    </row>
    <row r="313" ht="15.75" customHeight="1">
      <c r="A313" s="3">
        <v>44965.0</v>
      </c>
      <c r="B313" s="2" t="s">
        <v>33</v>
      </c>
      <c r="C313" s="2" t="s">
        <v>35</v>
      </c>
      <c r="D313" s="2" t="s">
        <v>30</v>
      </c>
      <c r="E313" s="2">
        <v>5541.0</v>
      </c>
      <c r="F313" s="2">
        <v>443.28000000000003</v>
      </c>
      <c r="G313" s="2">
        <v>0.0</v>
      </c>
      <c r="H313" s="2">
        <v>27.0</v>
      </c>
      <c r="I313" s="2">
        <v>2542.0</v>
      </c>
      <c r="J313" s="2">
        <f t="shared" si="1"/>
        <v>0</v>
      </c>
      <c r="K313" s="2">
        <f t="shared" si="2"/>
        <v>0</v>
      </c>
      <c r="L313" s="2">
        <f t="shared" si="3"/>
        <v>0</v>
      </c>
      <c r="M313" s="2">
        <f t="shared" si="4"/>
        <v>0.06090958311</v>
      </c>
    </row>
    <row r="314" ht="15.75" customHeight="1">
      <c r="A314" s="3">
        <v>44966.0</v>
      </c>
      <c r="B314" s="2" t="s">
        <v>14</v>
      </c>
      <c r="C314" s="2" t="s">
        <v>15</v>
      </c>
      <c r="D314" s="2" t="s">
        <v>32</v>
      </c>
      <c r="E314" s="2">
        <v>6437.0</v>
      </c>
      <c r="F314" s="2">
        <v>257.48</v>
      </c>
      <c r="G314" s="2">
        <v>252.33040000000003</v>
      </c>
      <c r="H314" s="2">
        <v>41.0</v>
      </c>
      <c r="I314" s="2">
        <v>2604.0</v>
      </c>
      <c r="J314" s="2">
        <f t="shared" si="1"/>
        <v>0.98</v>
      </c>
      <c r="K314" s="2">
        <f t="shared" si="2"/>
        <v>0.98</v>
      </c>
      <c r="L314" s="2">
        <f t="shared" si="3"/>
        <v>39.2</v>
      </c>
      <c r="M314" s="2">
        <f t="shared" si="4"/>
        <v>0.1592356688</v>
      </c>
    </row>
    <row r="315" ht="15.75" customHeight="1">
      <c r="A315" s="3">
        <v>44966.0</v>
      </c>
      <c r="B315" s="2" t="s">
        <v>14</v>
      </c>
      <c r="C315" s="2" t="s">
        <v>17</v>
      </c>
      <c r="D315" s="2" t="s">
        <v>30</v>
      </c>
      <c r="E315" s="2">
        <v>6040.0</v>
      </c>
      <c r="F315" s="2">
        <v>120.8</v>
      </c>
      <c r="G315" s="2">
        <v>231.93599999999998</v>
      </c>
      <c r="H315" s="2">
        <v>14.0</v>
      </c>
      <c r="I315" s="2">
        <v>1242.0</v>
      </c>
      <c r="J315" s="2">
        <f t="shared" si="1"/>
        <v>1.92</v>
      </c>
      <c r="K315" s="2">
        <f t="shared" si="2"/>
        <v>1.92</v>
      </c>
      <c r="L315" s="2">
        <f t="shared" si="3"/>
        <v>38.4</v>
      </c>
      <c r="M315" s="2">
        <f t="shared" si="4"/>
        <v>0.1158940397</v>
      </c>
    </row>
    <row r="316" ht="15.75" customHeight="1">
      <c r="A316" s="3">
        <v>44966.0</v>
      </c>
      <c r="B316" s="2" t="s">
        <v>20</v>
      </c>
      <c r="C316" s="2" t="s">
        <v>21</v>
      </c>
      <c r="D316" s="2" t="s">
        <v>24</v>
      </c>
      <c r="E316" s="2">
        <v>2360.0</v>
      </c>
      <c r="F316" s="2">
        <v>188.8</v>
      </c>
      <c r="G316" s="2">
        <v>258.65600000000006</v>
      </c>
      <c r="H316" s="2">
        <v>13.0</v>
      </c>
      <c r="I316" s="2">
        <v>4158.0</v>
      </c>
      <c r="J316" s="2">
        <f t="shared" si="1"/>
        <v>1.37</v>
      </c>
      <c r="K316" s="2">
        <f t="shared" si="2"/>
        <v>1.37</v>
      </c>
      <c r="L316" s="2">
        <f t="shared" si="3"/>
        <v>109.6</v>
      </c>
      <c r="M316" s="2">
        <f t="shared" si="4"/>
        <v>0.0688559322</v>
      </c>
    </row>
    <row r="317" ht="15.75" customHeight="1">
      <c r="A317" s="3">
        <v>44966.0</v>
      </c>
      <c r="B317" s="2" t="s">
        <v>20</v>
      </c>
      <c r="C317" s="2" t="s">
        <v>23</v>
      </c>
      <c r="D317" s="2" t="s">
        <v>19</v>
      </c>
      <c r="E317" s="2">
        <v>5066.0</v>
      </c>
      <c r="F317" s="2">
        <v>405.28000000000003</v>
      </c>
      <c r="G317" s="2">
        <v>672.7648</v>
      </c>
      <c r="H317" s="2">
        <v>73.0</v>
      </c>
      <c r="I317" s="2">
        <v>2073.0</v>
      </c>
      <c r="J317" s="2">
        <f t="shared" si="1"/>
        <v>1.66</v>
      </c>
      <c r="K317" s="2">
        <f t="shared" si="2"/>
        <v>1.66</v>
      </c>
      <c r="L317" s="2">
        <f t="shared" si="3"/>
        <v>132.8</v>
      </c>
      <c r="M317" s="2">
        <f t="shared" si="4"/>
        <v>0.1801223845</v>
      </c>
    </row>
    <row r="318" ht="15.75" customHeight="1">
      <c r="A318" s="3">
        <v>44966.0</v>
      </c>
      <c r="B318" s="2" t="s">
        <v>26</v>
      </c>
      <c r="C318" s="2" t="s">
        <v>27</v>
      </c>
      <c r="D318" s="2" t="s">
        <v>22</v>
      </c>
      <c r="E318" s="2">
        <v>13154.0</v>
      </c>
      <c r="F318" s="2">
        <v>394.62</v>
      </c>
      <c r="G318" s="2">
        <v>690.585</v>
      </c>
      <c r="H318" s="2">
        <v>75.0</v>
      </c>
      <c r="I318" s="2">
        <v>4482.0</v>
      </c>
      <c r="J318" s="2">
        <f t="shared" si="1"/>
        <v>1.75</v>
      </c>
      <c r="K318" s="2">
        <f t="shared" si="2"/>
        <v>1.75</v>
      </c>
      <c r="L318" s="2">
        <f t="shared" si="3"/>
        <v>52.5</v>
      </c>
      <c r="M318" s="2">
        <f t="shared" si="4"/>
        <v>0.1900562567</v>
      </c>
    </row>
    <row r="319" ht="15.75" customHeight="1">
      <c r="A319" s="3">
        <v>44966.0</v>
      </c>
      <c r="B319" s="2" t="s">
        <v>26</v>
      </c>
      <c r="C319" s="2" t="s">
        <v>31</v>
      </c>
      <c r="D319" s="2" t="s">
        <v>18</v>
      </c>
      <c r="E319" s="2">
        <v>8055.0</v>
      </c>
      <c r="F319" s="2">
        <v>483.29999999999995</v>
      </c>
      <c r="G319" s="2">
        <v>850.608</v>
      </c>
      <c r="H319" s="2">
        <v>92.0</v>
      </c>
      <c r="I319" s="2">
        <v>1939.0</v>
      </c>
      <c r="J319" s="2">
        <f t="shared" si="1"/>
        <v>1.76</v>
      </c>
      <c r="K319" s="2">
        <f t="shared" si="2"/>
        <v>1.76</v>
      </c>
      <c r="L319" s="2">
        <f t="shared" si="3"/>
        <v>105.6</v>
      </c>
      <c r="M319" s="2">
        <f t="shared" si="4"/>
        <v>0.1903579557</v>
      </c>
    </row>
    <row r="320" ht="15.75" customHeight="1">
      <c r="A320" s="3">
        <v>44966.0</v>
      </c>
      <c r="B320" s="2" t="s">
        <v>33</v>
      </c>
      <c r="C320" s="2" t="s">
        <v>34</v>
      </c>
      <c r="D320" s="2" t="s">
        <v>22</v>
      </c>
      <c r="E320" s="2">
        <v>2876.0</v>
      </c>
      <c r="F320" s="2">
        <v>230.08</v>
      </c>
      <c r="G320" s="2">
        <v>0.0</v>
      </c>
      <c r="H320" s="2">
        <v>39.0</v>
      </c>
      <c r="I320" s="2">
        <v>3772.0</v>
      </c>
      <c r="J320" s="2">
        <f t="shared" si="1"/>
        <v>0</v>
      </c>
      <c r="K320" s="2">
        <f t="shared" si="2"/>
        <v>0</v>
      </c>
      <c r="L320" s="2">
        <f t="shared" si="3"/>
        <v>0</v>
      </c>
      <c r="M320" s="2">
        <f t="shared" si="4"/>
        <v>0.1695062587</v>
      </c>
    </row>
    <row r="321" ht="15.75" customHeight="1">
      <c r="A321" s="3">
        <v>44966.0</v>
      </c>
      <c r="B321" s="2" t="s">
        <v>33</v>
      </c>
      <c r="C321" s="2" t="s">
        <v>35</v>
      </c>
      <c r="D321" s="2" t="s">
        <v>13</v>
      </c>
      <c r="E321" s="2">
        <v>2238.0</v>
      </c>
      <c r="F321" s="2">
        <v>111.9</v>
      </c>
      <c r="G321" s="2">
        <v>0.0</v>
      </c>
      <c r="H321" s="2">
        <v>13.0</v>
      </c>
      <c r="I321" s="2">
        <v>3516.0</v>
      </c>
      <c r="J321" s="2">
        <f t="shared" si="1"/>
        <v>0</v>
      </c>
      <c r="K321" s="2">
        <f t="shared" si="2"/>
        <v>0</v>
      </c>
      <c r="L321" s="2">
        <f t="shared" si="3"/>
        <v>0</v>
      </c>
      <c r="M321" s="2">
        <f t="shared" si="4"/>
        <v>0.1161751564</v>
      </c>
    </row>
    <row r="322" ht="15.75" customHeight="1">
      <c r="A322" s="3">
        <v>44967.0</v>
      </c>
      <c r="B322" s="2" t="s">
        <v>14</v>
      </c>
      <c r="C322" s="2" t="s">
        <v>15</v>
      </c>
      <c r="D322" s="2" t="s">
        <v>18</v>
      </c>
      <c r="E322" s="2">
        <v>5900.0</v>
      </c>
      <c r="F322" s="2">
        <v>590.0</v>
      </c>
      <c r="G322" s="2">
        <v>277.3</v>
      </c>
      <c r="H322" s="2">
        <v>112.0</v>
      </c>
      <c r="I322" s="2">
        <v>4430.0</v>
      </c>
      <c r="J322" s="2">
        <f t="shared" si="1"/>
        <v>0.47</v>
      </c>
      <c r="K322" s="2">
        <f t="shared" si="2"/>
        <v>0.47</v>
      </c>
      <c r="L322" s="2">
        <f t="shared" si="3"/>
        <v>47</v>
      </c>
      <c r="M322" s="2">
        <f t="shared" si="4"/>
        <v>0.1898305085</v>
      </c>
    </row>
    <row r="323" ht="15.75" customHeight="1">
      <c r="A323" s="3">
        <v>44967.0</v>
      </c>
      <c r="B323" s="2" t="s">
        <v>14</v>
      </c>
      <c r="C323" s="2" t="s">
        <v>17</v>
      </c>
      <c r="D323" s="2" t="s">
        <v>30</v>
      </c>
      <c r="E323" s="2">
        <v>5732.0</v>
      </c>
      <c r="F323" s="2">
        <v>286.6</v>
      </c>
      <c r="G323" s="2">
        <v>338.188</v>
      </c>
      <c r="H323" s="2">
        <v>23.0</v>
      </c>
      <c r="I323" s="2">
        <v>1379.0</v>
      </c>
      <c r="J323" s="2">
        <f t="shared" si="1"/>
        <v>1.18</v>
      </c>
      <c r="K323" s="2">
        <f t="shared" si="2"/>
        <v>1.18</v>
      </c>
      <c r="L323" s="2">
        <f t="shared" si="3"/>
        <v>59</v>
      </c>
      <c r="M323" s="2">
        <f t="shared" si="4"/>
        <v>0.08025122121</v>
      </c>
    </row>
    <row r="324" ht="15.75" customHeight="1">
      <c r="A324" s="3">
        <v>44967.0</v>
      </c>
      <c r="B324" s="2" t="s">
        <v>20</v>
      </c>
      <c r="C324" s="2" t="s">
        <v>21</v>
      </c>
      <c r="D324" s="2" t="s">
        <v>24</v>
      </c>
      <c r="E324" s="2">
        <v>5246.0</v>
      </c>
      <c r="F324" s="2">
        <v>367.22</v>
      </c>
      <c r="G324" s="2">
        <v>536.1412</v>
      </c>
      <c r="H324" s="2">
        <v>40.0</v>
      </c>
      <c r="I324" s="2">
        <v>174.0</v>
      </c>
      <c r="J324" s="2">
        <f t="shared" si="1"/>
        <v>1.46</v>
      </c>
      <c r="K324" s="2">
        <f t="shared" si="2"/>
        <v>1.46</v>
      </c>
      <c r="L324" s="2">
        <f t="shared" si="3"/>
        <v>102.2</v>
      </c>
      <c r="M324" s="2">
        <f t="shared" si="4"/>
        <v>0.1089265291</v>
      </c>
    </row>
    <row r="325" ht="15.75" customHeight="1">
      <c r="A325" s="3">
        <v>44967.0</v>
      </c>
      <c r="B325" s="2" t="s">
        <v>20</v>
      </c>
      <c r="C325" s="2" t="s">
        <v>23</v>
      </c>
      <c r="D325" s="2" t="s">
        <v>16</v>
      </c>
      <c r="E325" s="2">
        <v>2456.0</v>
      </c>
      <c r="F325" s="2">
        <v>49.120000000000005</v>
      </c>
      <c r="G325" s="2">
        <v>87.43360000000001</v>
      </c>
      <c r="H325" s="2">
        <v>10.0</v>
      </c>
      <c r="I325" s="2">
        <v>4671.0</v>
      </c>
      <c r="J325" s="2">
        <f t="shared" si="1"/>
        <v>1.78</v>
      </c>
      <c r="K325" s="2">
        <f t="shared" si="2"/>
        <v>1.78</v>
      </c>
      <c r="L325" s="2">
        <f t="shared" si="3"/>
        <v>35.6</v>
      </c>
      <c r="M325" s="2">
        <f t="shared" si="4"/>
        <v>0.2035830619</v>
      </c>
    </row>
    <row r="326" ht="15.75" customHeight="1">
      <c r="A326" s="3">
        <v>44967.0</v>
      </c>
      <c r="B326" s="2" t="s">
        <v>26</v>
      </c>
      <c r="C326" s="2" t="s">
        <v>27</v>
      </c>
      <c r="D326" s="2" t="s">
        <v>16</v>
      </c>
      <c r="E326" s="2">
        <v>12789.0</v>
      </c>
      <c r="F326" s="2">
        <v>383.66999999999996</v>
      </c>
      <c r="G326" s="2">
        <v>456.56729999999993</v>
      </c>
      <c r="H326" s="2">
        <v>42.0</v>
      </c>
      <c r="I326" s="2">
        <v>2402.0</v>
      </c>
      <c r="J326" s="2">
        <f t="shared" si="1"/>
        <v>1.19</v>
      </c>
      <c r="K326" s="2">
        <f t="shared" si="2"/>
        <v>1.19</v>
      </c>
      <c r="L326" s="2">
        <f t="shared" si="3"/>
        <v>35.7</v>
      </c>
      <c r="M326" s="2">
        <f t="shared" si="4"/>
        <v>0.109469075</v>
      </c>
    </row>
    <row r="327" ht="15.75" customHeight="1">
      <c r="A327" s="3">
        <v>44967.0</v>
      </c>
      <c r="B327" s="2" t="s">
        <v>26</v>
      </c>
      <c r="C327" s="2" t="s">
        <v>31</v>
      </c>
      <c r="D327" s="2" t="s">
        <v>30</v>
      </c>
      <c r="E327" s="2">
        <v>14961.0</v>
      </c>
      <c r="F327" s="2">
        <v>299.22</v>
      </c>
      <c r="G327" s="2">
        <v>185.5164</v>
      </c>
      <c r="H327" s="2">
        <v>18.0</v>
      </c>
      <c r="I327" s="2">
        <v>893.0</v>
      </c>
      <c r="J327" s="2">
        <f t="shared" si="1"/>
        <v>0.62</v>
      </c>
      <c r="K327" s="2">
        <f t="shared" si="2"/>
        <v>0.62</v>
      </c>
      <c r="L327" s="2">
        <f t="shared" si="3"/>
        <v>12.4</v>
      </c>
      <c r="M327" s="2">
        <f t="shared" si="4"/>
        <v>0.06015640666</v>
      </c>
    </row>
    <row r="328" ht="15.75" customHeight="1">
      <c r="A328" s="3">
        <v>44967.0</v>
      </c>
      <c r="B328" s="2" t="s">
        <v>33</v>
      </c>
      <c r="C328" s="2" t="s">
        <v>34</v>
      </c>
      <c r="D328" s="2" t="s">
        <v>18</v>
      </c>
      <c r="E328" s="2">
        <v>2931.0</v>
      </c>
      <c r="F328" s="2">
        <v>293.1</v>
      </c>
      <c r="G328" s="2">
        <v>0.0</v>
      </c>
      <c r="H328" s="2">
        <v>47.0</v>
      </c>
      <c r="I328" s="2">
        <v>768.0</v>
      </c>
      <c r="J328" s="2">
        <f t="shared" si="1"/>
        <v>0</v>
      </c>
      <c r="K328" s="2">
        <f t="shared" si="2"/>
        <v>0</v>
      </c>
      <c r="L328" s="2">
        <f t="shared" si="3"/>
        <v>0</v>
      </c>
      <c r="M328" s="2">
        <f t="shared" si="4"/>
        <v>0.1603548277</v>
      </c>
    </row>
    <row r="329" ht="15.75" customHeight="1">
      <c r="A329" s="3">
        <v>44967.0</v>
      </c>
      <c r="B329" s="2" t="s">
        <v>33</v>
      </c>
      <c r="C329" s="2" t="s">
        <v>35</v>
      </c>
      <c r="D329" s="2" t="s">
        <v>32</v>
      </c>
      <c r="E329" s="2">
        <v>2361.0</v>
      </c>
      <c r="F329" s="2">
        <v>188.88</v>
      </c>
      <c r="G329" s="2">
        <v>0.0</v>
      </c>
      <c r="H329" s="2">
        <v>11.0</v>
      </c>
      <c r="I329" s="2">
        <v>997.0</v>
      </c>
      <c r="J329" s="2">
        <f t="shared" si="1"/>
        <v>0</v>
      </c>
      <c r="K329" s="2">
        <f t="shared" si="2"/>
        <v>0</v>
      </c>
      <c r="L329" s="2">
        <f t="shared" si="3"/>
        <v>0</v>
      </c>
      <c r="M329" s="2">
        <f t="shared" si="4"/>
        <v>0.05823803473</v>
      </c>
    </row>
    <row r="330" ht="15.75" customHeight="1">
      <c r="A330" s="3">
        <v>44968.0</v>
      </c>
      <c r="B330" s="2" t="s">
        <v>14</v>
      </c>
      <c r="C330" s="2" t="s">
        <v>15</v>
      </c>
      <c r="D330" s="2" t="s">
        <v>16</v>
      </c>
      <c r="E330" s="2">
        <v>9902.0</v>
      </c>
      <c r="F330" s="2">
        <v>198.04</v>
      </c>
      <c r="G330" s="2">
        <v>366.374</v>
      </c>
      <c r="H330" s="2">
        <v>14.0</v>
      </c>
      <c r="I330" s="2">
        <v>775.0</v>
      </c>
      <c r="J330" s="2">
        <f t="shared" si="1"/>
        <v>1.85</v>
      </c>
      <c r="K330" s="2">
        <f t="shared" si="2"/>
        <v>1.85</v>
      </c>
      <c r="L330" s="2">
        <f t="shared" si="3"/>
        <v>37</v>
      </c>
      <c r="M330" s="2">
        <f t="shared" si="4"/>
        <v>0.07069278934</v>
      </c>
    </row>
    <row r="331" ht="15.75" customHeight="1">
      <c r="A331" s="3">
        <v>44968.0</v>
      </c>
      <c r="B331" s="2" t="s">
        <v>14</v>
      </c>
      <c r="C331" s="2" t="s">
        <v>17</v>
      </c>
      <c r="D331" s="2" t="s">
        <v>30</v>
      </c>
      <c r="E331" s="2">
        <v>5260.0</v>
      </c>
      <c r="F331" s="2">
        <v>210.4</v>
      </c>
      <c r="G331" s="2">
        <v>351.368</v>
      </c>
      <c r="H331" s="2">
        <v>19.0</v>
      </c>
      <c r="I331" s="2">
        <v>1584.0</v>
      </c>
      <c r="J331" s="2">
        <f t="shared" si="1"/>
        <v>1.67</v>
      </c>
      <c r="K331" s="2">
        <f t="shared" si="2"/>
        <v>1.67</v>
      </c>
      <c r="L331" s="2">
        <f t="shared" si="3"/>
        <v>66.8</v>
      </c>
      <c r="M331" s="2">
        <f t="shared" si="4"/>
        <v>0.09030418251</v>
      </c>
    </row>
    <row r="332" ht="15.75" customHeight="1">
      <c r="A332" s="3">
        <v>44968.0</v>
      </c>
      <c r="B332" s="2" t="s">
        <v>20</v>
      </c>
      <c r="C332" s="2" t="s">
        <v>21</v>
      </c>
      <c r="D332" s="2" t="s">
        <v>16</v>
      </c>
      <c r="E332" s="2">
        <v>5600.0</v>
      </c>
      <c r="F332" s="2">
        <v>448.0</v>
      </c>
      <c r="G332" s="2">
        <v>371.84</v>
      </c>
      <c r="H332" s="2">
        <v>58.0</v>
      </c>
      <c r="I332" s="2">
        <v>3436.0</v>
      </c>
      <c r="J332" s="2">
        <f t="shared" si="1"/>
        <v>0.83</v>
      </c>
      <c r="K332" s="2">
        <f t="shared" si="2"/>
        <v>0.83</v>
      </c>
      <c r="L332" s="2">
        <f t="shared" si="3"/>
        <v>66.4</v>
      </c>
      <c r="M332" s="2">
        <f t="shared" si="4"/>
        <v>0.1294642857</v>
      </c>
    </row>
    <row r="333" ht="15.75" customHeight="1">
      <c r="A333" s="3">
        <v>44968.0</v>
      </c>
      <c r="B333" s="2" t="s">
        <v>20</v>
      </c>
      <c r="C333" s="2" t="s">
        <v>23</v>
      </c>
      <c r="D333" s="2" t="s">
        <v>13</v>
      </c>
      <c r="E333" s="2">
        <v>4809.0</v>
      </c>
      <c r="F333" s="2">
        <v>480.90000000000003</v>
      </c>
      <c r="G333" s="2">
        <v>519.3720000000001</v>
      </c>
      <c r="H333" s="2">
        <v>96.0</v>
      </c>
      <c r="I333" s="2">
        <v>329.0</v>
      </c>
      <c r="J333" s="2">
        <f t="shared" si="1"/>
        <v>1.08</v>
      </c>
      <c r="K333" s="2">
        <f t="shared" si="2"/>
        <v>1.08</v>
      </c>
      <c r="L333" s="2">
        <f t="shared" si="3"/>
        <v>108</v>
      </c>
      <c r="M333" s="2">
        <f t="shared" si="4"/>
        <v>0.1996257018</v>
      </c>
    </row>
    <row r="334" ht="15.75" customHeight="1">
      <c r="A334" s="3">
        <v>44968.0</v>
      </c>
      <c r="B334" s="2" t="s">
        <v>26</v>
      </c>
      <c r="C334" s="2" t="s">
        <v>27</v>
      </c>
      <c r="D334" s="2" t="s">
        <v>19</v>
      </c>
      <c r="E334" s="2">
        <v>13058.0</v>
      </c>
      <c r="F334" s="2">
        <v>914.0600000000001</v>
      </c>
      <c r="G334" s="2">
        <v>621.5608000000001</v>
      </c>
      <c r="H334" s="2">
        <v>91.0</v>
      </c>
      <c r="I334" s="2">
        <v>1167.0</v>
      </c>
      <c r="J334" s="2">
        <f t="shared" si="1"/>
        <v>0.68</v>
      </c>
      <c r="K334" s="2">
        <f t="shared" si="2"/>
        <v>0.68</v>
      </c>
      <c r="L334" s="2">
        <f t="shared" si="3"/>
        <v>47.6</v>
      </c>
      <c r="M334" s="2">
        <f t="shared" si="4"/>
        <v>0.09955582784</v>
      </c>
    </row>
    <row r="335" ht="15.75" customHeight="1">
      <c r="A335" s="3">
        <v>44968.0</v>
      </c>
      <c r="B335" s="2" t="s">
        <v>26</v>
      </c>
      <c r="C335" s="2" t="s">
        <v>31</v>
      </c>
      <c r="D335" s="2" t="s">
        <v>13</v>
      </c>
      <c r="E335" s="2">
        <v>10946.0</v>
      </c>
      <c r="F335" s="2">
        <v>547.3000000000001</v>
      </c>
      <c r="G335" s="2">
        <v>180.60900000000004</v>
      </c>
      <c r="H335" s="2">
        <v>99.0</v>
      </c>
      <c r="I335" s="2">
        <v>2108.0</v>
      </c>
      <c r="J335" s="2">
        <f t="shared" si="1"/>
        <v>0.33</v>
      </c>
      <c r="K335" s="2">
        <f t="shared" si="2"/>
        <v>0.33</v>
      </c>
      <c r="L335" s="2">
        <f t="shared" si="3"/>
        <v>16.5</v>
      </c>
      <c r="M335" s="2">
        <f t="shared" si="4"/>
        <v>0.1808879956</v>
      </c>
    </row>
    <row r="336" ht="15.75" customHeight="1">
      <c r="A336" s="3">
        <v>44968.0</v>
      </c>
      <c r="B336" s="2" t="s">
        <v>33</v>
      </c>
      <c r="C336" s="2" t="s">
        <v>34</v>
      </c>
      <c r="D336" s="2" t="s">
        <v>22</v>
      </c>
      <c r="E336" s="2">
        <v>4654.0</v>
      </c>
      <c r="F336" s="2">
        <v>372.32</v>
      </c>
      <c r="G336" s="2">
        <v>0.0</v>
      </c>
      <c r="H336" s="2">
        <v>41.0</v>
      </c>
      <c r="I336" s="2">
        <v>1199.0</v>
      </c>
      <c r="J336" s="2">
        <f t="shared" si="1"/>
        <v>0</v>
      </c>
      <c r="K336" s="2">
        <f t="shared" si="2"/>
        <v>0</v>
      </c>
      <c r="L336" s="2">
        <f t="shared" si="3"/>
        <v>0</v>
      </c>
      <c r="M336" s="2">
        <f t="shared" si="4"/>
        <v>0.1101203266</v>
      </c>
    </row>
    <row r="337" ht="15.75" customHeight="1">
      <c r="A337" s="3">
        <v>44968.0</v>
      </c>
      <c r="B337" s="2" t="s">
        <v>33</v>
      </c>
      <c r="C337" s="2" t="s">
        <v>35</v>
      </c>
      <c r="D337" s="2" t="s">
        <v>30</v>
      </c>
      <c r="E337" s="2">
        <v>2359.0</v>
      </c>
      <c r="F337" s="2">
        <v>235.9</v>
      </c>
      <c r="G337" s="2">
        <v>0.0</v>
      </c>
      <c r="H337" s="2">
        <v>40.0</v>
      </c>
      <c r="I337" s="2">
        <v>636.0</v>
      </c>
      <c r="J337" s="2">
        <f t="shared" si="1"/>
        <v>0</v>
      </c>
      <c r="K337" s="2">
        <f t="shared" si="2"/>
        <v>0</v>
      </c>
      <c r="L337" s="2">
        <f t="shared" si="3"/>
        <v>0</v>
      </c>
      <c r="M337" s="2">
        <f t="shared" si="4"/>
        <v>0.1695633743</v>
      </c>
    </row>
    <row r="338" ht="15.75" customHeight="1">
      <c r="A338" s="3">
        <v>44969.0</v>
      </c>
      <c r="B338" s="2" t="s">
        <v>14</v>
      </c>
      <c r="C338" s="2" t="s">
        <v>15</v>
      </c>
      <c r="D338" s="2" t="s">
        <v>32</v>
      </c>
      <c r="E338" s="2">
        <v>5732.0</v>
      </c>
      <c r="F338" s="2">
        <v>286.6</v>
      </c>
      <c r="G338" s="2">
        <v>166.228</v>
      </c>
      <c r="H338" s="2">
        <v>43.0</v>
      </c>
      <c r="I338" s="2">
        <v>2985.0</v>
      </c>
      <c r="J338" s="2">
        <f t="shared" si="1"/>
        <v>0.58</v>
      </c>
      <c r="K338" s="2">
        <f t="shared" si="2"/>
        <v>0.58</v>
      </c>
      <c r="L338" s="2">
        <f t="shared" si="3"/>
        <v>29</v>
      </c>
      <c r="M338" s="2">
        <f t="shared" si="4"/>
        <v>0.1500348918</v>
      </c>
    </row>
    <row r="339" ht="15.75" customHeight="1">
      <c r="A339" s="3">
        <v>44969.0</v>
      </c>
      <c r="B339" s="2" t="s">
        <v>14</v>
      </c>
      <c r="C339" s="2" t="s">
        <v>17</v>
      </c>
      <c r="D339" s="2" t="s">
        <v>30</v>
      </c>
      <c r="E339" s="2">
        <v>7840.0</v>
      </c>
      <c r="F339" s="2">
        <v>705.6</v>
      </c>
      <c r="G339" s="2">
        <v>515.088</v>
      </c>
      <c r="H339" s="2">
        <v>85.0</v>
      </c>
      <c r="I339" s="2">
        <v>3565.0</v>
      </c>
      <c r="J339" s="2">
        <f t="shared" si="1"/>
        <v>0.73</v>
      </c>
      <c r="K339" s="2">
        <f t="shared" si="2"/>
        <v>0.73</v>
      </c>
      <c r="L339" s="2">
        <f t="shared" si="3"/>
        <v>65.7</v>
      </c>
      <c r="M339" s="2">
        <f t="shared" si="4"/>
        <v>0.1204648526</v>
      </c>
    </row>
    <row r="340" ht="15.75" customHeight="1">
      <c r="A340" s="3">
        <v>44969.0</v>
      </c>
      <c r="B340" s="2" t="s">
        <v>20</v>
      </c>
      <c r="C340" s="2" t="s">
        <v>21</v>
      </c>
      <c r="D340" s="2" t="s">
        <v>18</v>
      </c>
      <c r="E340" s="2">
        <v>2000.0</v>
      </c>
      <c r="F340" s="2">
        <v>140.0</v>
      </c>
      <c r="G340" s="2">
        <v>49.0</v>
      </c>
      <c r="H340" s="2">
        <v>20.0</v>
      </c>
      <c r="I340" s="2">
        <v>2980.0</v>
      </c>
      <c r="J340" s="2">
        <f t="shared" si="1"/>
        <v>0.35</v>
      </c>
      <c r="K340" s="2">
        <f t="shared" si="2"/>
        <v>0.35</v>
      </c>
      <c r="L340" s="2">
        <f t="shared" si="3"/>
        <v>24.5</v>
      </c>
      <c r="M340" s="2">
        <f t="shared" si="4"/>
        <v>0.1428571429</v>
      </c>
    </row>
    <row r="341" ht="15.75" customHeight="1">
      <c r="A341" s="3">
        <v>44969.0</v>
      </c>
      <c r="B341" s="2" t="s">
        <v>20</v>
      </c>
      <c r="C341" s="2" t="s">
        <v>23</v>
      </c>
      <c r="D341" s="2" t="s">
        <v>22</v>
      </c>
      <c r="E341" s="2">
        <v>3680.0</v>
      </c>
      <c r="F341" s="2">
        <v>220.79999999999998</v>
      </c>
      <c r="G341" s="2">
        <v>75.072</v>
      </c>
      <c r="H341" s="2">
        <v>42.0</v>
      </c>
      <c r="I341" s="2">
        <v>2282.0</v>
      </c>
      <c r="J341" s="2">
        <f t="shared" si="1"/>
        <v>0.34</v>
      </c>
      <c r="K341" s="2">
        <f t="shared" si="2"/>
        <v>0.34</v>
      </c>
      <c r="L341" s="2">
        <f t="shared" si="3"/>
        <v>20.4</v>
      </c>
      <c r="M341" s="2">
        <f t="shared" si="4"/>
        <v>0.1902173913</v>
      </c>
    </row>
    <row r="342" ht="15.75" customHeight="1">
      <c r="A342" s="3">
        <v>44969.0</v>
      </c>
      <c r="B342" s="2" t="s">
        <v>26</v>
      </c>
      <c r="C342" s="2" t="s">
        <v>27</v>
      </c>
      <c r="D342" s="2" t="s">
        <v>32</v>
      </c>
      <c r="E342" s="2">
        <v>12327.0</v>
      </c>
      <c r="F342" s="2">
        <v>862.8900000000001</v>
      </c>
      <c r="G342" s="2">
        <v>1147.6437</v>
      </c>
      <c r="H342" s="2">
        <v>112.0</v>
      </c>
      <c r="I342" s="2">
        <v>823.0</v>
      </c>
      <c r="J342" s="2">
        <f t="shared" si="1"/>
        <v>1.33</v>
      </c>
      <c r="K342" s="2">
        <f t="shared" si="2"/>
        <v>1.33</v>
      </c>
      <c r="L342" s="2">
        <f t="shared" si="3"/>
        <v>93.1</v>
      </c>
      <c r="M342" s="2">
        <f t="shared" si="4"/>
        <v>0.1297963819</v>
      </c>
    </row>
    <row r="343" ht="15.75" customHeight="1">
      <c r="A343" s="3">
        <v>44969.0</v>
      </c>
      <c r="B343" s="2" t="s">
        <v>26</v>
      </c>
      <c r="C343" s="2" t="s">
        <v>31</v>
      </c>
      <c r="D343" s="2" t="s">
        <v>32</v>
      </c>
      <c r="E343" s="2">
        <v>13498.0</v>
      </c>
      <c r="F343" s="2">
        <v>809.88</v>
      </c>
      <c r="G343" s="2">
        <v>1077.1404</v>
      </c>
      <c r="H343" s="2">
        <v>57.0</v>
      </c>
      <c r="I343" s="2">
        <v>3449.0</v>
      </c>
      <c r="J343" s="2">
        <f t="shared" si="1"/>
        <v>1.33</v>
      </c>
      <c r="K343" s="2">
        <f t="shared" si="2"/>
        <v>1.33</v>
      </c>
      <c r="L343" s="2">
        <f t="shared" si="3"/>
        <v>79.8</v>
      </c>
      <c r="M343" s="2">
        <f t="shared" si="4"/>
        <v>0.07038079716</v>
      </c>
    </row>
    <row r="344" ht="15.75" customHeight="1">
      <c r="A344" s="3">
        <v>44969.0</v>
      </c>
      <c r="B344" s="2" t="s">
        <v>33</v>
      </c>
      <c r="C344" s="2" t="s">
        <v>34</v>
      </c>
      <c r="D344" s="2" t="s">
        <v>18</v>
      </c>
      <c r="E344" s="2">
        <v>3182.0</v>
      </c>
      <c r="F344" s="2">
        <v>318.20000000000005</v>
      </c>
      <c r="G344" s="2">
        <v>0.0</v>
      </c>
      <c r="H344" s="2">
        <v>57.0</v>
      </c>
      <c r="I344" s="2">
        <v>2197.0</v>
      </c>
      <c r="J344" s="2">
        <f t="shared" si="1"/>
        <v>0</v>
      </c>
      <c r="K344" s="2">
        <f t="shared" si="2"/>
        <v>0</v>
      </c>
      <c r="L344" s="2">
        <f t="shared" si="3"/>
        <v>0</v>
      </c>
      <c r="M344" s="2">
        <f t="shared" si="4"/>
        <v>0.179132621</v>
      </c>
    </row>
    <row r="345" ht="15.75" customHeight="1">
      <c r="A345" s="3">
        <v>44969.0</v>
      </c>
      <c r="B345" s="2" t="s">
        <v>33</v>
      </c>
      <c r="C345" s="2" t="s">
        <v>35</v>
      </c>
      <c r="D345" s="2" t="s">
        <v>32</v>
      </c>
      <c r="E345" s="2">
        <v>5172.0</v>
      </c>
      <c r="F345" s="2">
        <v>206.88</v>
      </c>
      <c r="G345" s="2">
        <v>0.0</v>
      </c>
      <c r="H345" s="2">
        <v>37.0</v>
      </c>
      <c r="I345" s="2">
        <v>2637.0</v>
      </c>
      <c r="J345" s="2">
        <f t="shared" si="1"/>
        <v>0</v>
      </c>
      <c r="K345" s="2">
        <f t="shared" si="2"/>
        <v>0</v>
      </c>
      <c r="L345" s="2">
        <f t="shared" si="3"/>
        <v>0</v>
      </c>
      <c r="M345" s="2">
        <f t="shared" si="4"/>
        <v>0.1788476411</v>
      </c>
    </row>
    <row r="346" ht="15.75" customHeight="1">
      <c r="A346" s="3">
        <v>44970.0</v>
      </c>
      <c r="B346" s="2" t="s">
        <v>14</v>
      </c>
      <c r="C346" s="2" t="s">
        <v>15</v>
      </c>
      <c r="D346" s="2" t="s">
        <v>25</v>
      </c>
      <c r="E346" s="2">
        <v>7676.0</v>
      </c>
      <c r="F346" s="2">
        <v>230.28</v>
      </c>
      <c r="G346" s="2">
        <v>227.9772</v>
      </c>
      <c r="H346" s="2">
        <v>18.0</v>
      </c>
      <c r="I346" s="2">
        <v>4198.0</v>
      </c>
      <c r="J346" s="2">
        <f t="shared" si="1"/>
        <v>0.99</v>
      </c>
      <c r="K346" s="2">
        <f t="shared" si="2"/>
        <v>0.99</v>
      </c>
      <c r="L346" s="2">
        <f t="shared" si="3"/>
        <v>29.7</v>
      </c>
      <c r="M346" s="2">
        <f t="shared" si="4"/>
        <v>0.07816571131</v>
      </c>
    </row>
    <row r="347" ht="15.75" customHeight="1">
      <c r="A347" s="3">
        <v>44970.0</v>
      </c>
      <c r="B347" s="2" t="s">
        <v>14</v>
      </c>
      <c r="C347" s="2" t="s">
        <v>17</v>
      </c>
      <c r="D347" s="2" t="s">
        <v>24</v>
      </c>
      <c r="E347" s="2">
        <v>6882.0</v>
      </c>
      <c r="F347" s="2">
        <v>688.2</v>
      </c>
      <c r="G347" s="2">
        <v>1348.872</v>
      </c>
      <c r="H347" s="2">
        <v>131.0</v>
      </c>
      <c r="I347" s="2">
        <v>4152.0</v>
      </c>
      <c r="J347" s="2">
        <f t="shared" si="1"/>
        <v>1.96</v>
      </c>
      <c r="K347" s="2">
        <f t="shared" si="2"/>
        <v>1.96</v>
      </c>
      <c r="L347" s="2">
        <f t="shared" si="3"/>
        <v>196</v>
      </c>
      <c r="M347" s="2">
        <f t="shared" si="4"/>
        <v>0.190351642</v>
      </c>
    </row>
    <row r="348" ht="15.75" customHeight="1">
      <c r="A348" s="3">
        <v>44970.0</v>
      </c>
      <c r="B348" s="2" t="s">
        <v>20</v>
      </c>
      <c r="C348" s="2" t="s">
        <v>21</v>
      </c>
      <c r="D348" s="2" t="s">
        <v>32</v>
      </c>
      <c r="E348" s="2">
        <v>4885.0</v>
      </c>
      <c r="F348" s="2">
        <v>293.09999999999997</v>
      </c>
      <c r="G348" s="2">
        <v>427.92599999999993</v>
      </c>
      <c r="H348" s="2">
        <v>15.0</v>
      </c>
      <c r="I348" s="2">
        <v>3847.0</v>
      </c>
      <c r="J348" s="2">
        <f t="shared" si="1"/>
        <v>1.46</v>
      </c>
      <c r="K348" s="2">
        <f t="shared" si="2"/>
        <v>1.46</v>
      </c>
      <c r="L348" s="2">
        <f t="shared" si="3"/>
        <v>87.6</v>
      </c>
      <c r="M348" s="2">
        <f t="shared" si="4"/>
        <v>0.05117707267</v>
      </c>
    </row>
    <row r="349" ht="15.75" customHeight="1">
      <c r="A349" s="3">
        <v>44970.0</v>
      </c>
      <c r="B349" s="2" t="s">
        <v>20</v>
      </c>
      <c r="C349" s="2" t="s">
        <v>23</v>
      </c>
      <c r="D349" s="2" t="s">
        <v>25</v>
      </c>
      <c r="E349" s="2">
        <v>2972.0</v>
      </c>
      <c r="F349" s="2">
        <v>59.44</v>
      </c>
      <c r="G349" s="2">
        <v>20.209600000000002</v>
      </c>
      <c r="H349" s="2">
        <v>7.0</v>
      </c>
      <c r="I349" s="2">
        <v>2176.0</v>
      </c>
      <c r="J349" s="2">
        <f t="shared" si="1"/>
        <v>0.34</v>
      </c>
      <c r="K349" s="2">
        <f t="shared" si="2"/>
        <v>0.34</v>
      </c>
      <c r="L349" s="2">
        <f t="shared" si="3"/>
        <v>6.8</v>
      </c>
      <c r="M349" s="2">
        <f t="shared" si="4"/>
        <v>0.1177658143</v>
      </c>
    </row>
    <row r="350" ht="15.75" customHeight="1">
      <c r="A350" s="3">
        <v>44970.0</v>
      </c>
      <c r="B350" s="2" t="s">
        <v>26</v>
      </c>
      <c r="C350" s="2" t="s">
        <v>27</v>
      </c>
      <c r="D350" s="2" t="s">
        <v>18</v>
      </c>
      <c r="E350" s="2">
        <v>8624.0</v>
      </c>
      <c r="F350" s="2">
        <v>517.4399999999999</v>
      </c>
      <c r="G350" s="2">
        <v>729.5903999999999</v>
      </c>
      <c r="H350" s="2">
        <v>47.0</v>
      </c>
      <c r="I350" s="2">
        <v>2641.0</v>
      </c>
      <c r="J350" s="2">
        <f t="shared" si="1"/>
        <v>1.41</v>
      </c>
      <c r="K350" s="2">
        <f t="shared" si="2"/>
        <v>1.41</v>
      </c>
      <c r="L350" s="2">
        <f t="shared" si="3"/>
        <v>84.6</v>
      </c>
      <c r="M350" s="2">
        <f t="shared" si="4"/>
        <v>0.09083178726</v>
      </c>
    </row>
    <row r="351" ht="15.75" customHeight="1">
      <c r="A351" s="3">
        <v>44970.0</v>
      </c>
      <c r="B351" s="2" t="s">
        <v>26</v>
      </c>
      <c r="C351" s="2" t="s">
        <v>31</v>
      </c>
      <c r="D351" s="2" t="s">
        <v>18</v>
      </c>
      <c r="E351" s="2">
        <v>13964.0</v>
      </c>
      <c r="F351" s="2">
        <v>558.5600000000001</v>
      </c>
      <c r="G351" s="2">
        <v>497.11840000000007</v>
      </c>
      <c r="H351" s="2">
        <v>67.0</v>
      </c>
      <c r="I351" s="2">
        <v>2927.0</v>
      </c>
      <c r="J351" s="2">
        <f t="shared" si="1"/>
        <v>0.89</v>
      </c>
      <c r="K351" s="2">
        <f t="shared" si="2"/>
        <v>0.89</v>
      </c>
      <c r="L351" s="2">
        <f t="shared" si="3"/>
        <v>35.6</v>
      </c>
      <c r="M351" s="2">
        <f t="shared" si="4"/>
        <v>0.1199513034</v>
      </c>
    </row>
    <row r="352" ht="15.75" customHeight="1">
      <c r="A352" s="3">
        <v>44970.0</v>
      </c>
      <c r="B352" s="2" t="s">
        <v>33</v>
      </c>
      <c r="C352" s="2" t="s">
        <v>34</v>
      </c>
      <c r="D352" s="2" t="s">
        <v>24</v>
      </c>
      <c r="E352" s="2">
        <v>4893.0</v>
      </c>
      <c r="F352" s="2">
        <v>97.86</v>
      </c>
      <c r="G352" s="2">
        <v>0.0</v>
      </c>
      <c r="H352" s="2">
        <v>5.0</v>
      </c>
      <c r="I352" s="2">
        <v>2493.0</v>
      </c>
      <c r="J352" s="2">
        <f t="shared" si="1"/>
        <v>0</v>
      </c>
      <c r="K352" s="2">
        <f t="shared" si="2"/>
        <v>0</v>
      </c>
      <c r="L352" s="2">
        <f t="shared" si="3"/>
        <v>0</v>
      </c>
      <c r="M352" s="2">
        <f t="shared" si="4"/>
        <v>0.05109339873</v>
      </c>
    </row>
    <row r="353" ht="15.75" customHeight="1">
      <c r="A353" s="3">
        <v>44970.0</v>
      </c>
      <c r="B353" s="2" t="s">
        <v>33</v>
      </c>
      <c r="C353" s="2" t="s">
        <v>35</v>
      </c>
      <c r="D353" s="2" t="s">
        <v>32</v>
      </c>
      <c r="E353" s="2">
        <v>3391.0</v>
      </c>
      <c r="F353" s="2">
        <v>237.37000000000003</v>
      </c>
      <c r="G353" s="2">
        <v>0.0</v>
      </c>
      <c r="H353" s="2">
        <v>38.0</v>
      </c>
      <c r="I353" s="2">
        <v>2228.0</v>
      </c>
      <c r="J353" s="2">
        <f t="shared" si="1"/>
        <v>0</v>
      </c>
      <c r="K353" s="2">
        <f t="shared" si="2"/>
        <v>0</v>
      </c>
      <c r="L353" s="2">
        <f t="shared" si="3"/>
        <v>0</v>
      </c>
      <c r="M353" s="2">
        <f t="shared" si="4"/>
        <v>0.1600876269</v>
      </c>
    </row>
    <row r="354" ht="15.75" customHeight="1">
      <c r="A354" s="3">
        <v>44971.0</v>
      </c>
      <c r="B354" s="2" t="s">
        <v>14</v>
      </c>
      <c r="C354" s="2" t="s">
        <v>15</v>
      </c>
      <c r="D354" s="2" t="s">
        <v>28</v>
      </c>
      <c r="E354" s="2">
        <v>9901.0</v>
      </c>
      <c r="F354" s="2">
        <v>594.06</v>
      </c>
      <c r="G354" s="2">
        <v>617.8224</v>
      </c>
      <c r="H354" s="2">
        <v>53.0</v>
      </c>
      <c r="I354" s="2">
        <v>2520.0</v>
      </c>
      <c r="J354" s="2">
        <f t="shared" si="1"/>
        <v>1.04</v>
      </c>
      <c r="K354" s="2">
        <f t="shared" si="2"/>
        <v>1.04</v>
      </c>
      <c r="L354" s="2">
        <f t="shared" si="3"/>
        <v>62.4</v>
      </c>
      <c r="M354" s="2">
        <f t="shared" si="4"/>
        <v>0.08921657745</v>
      </c>
    </row>
    <row r="355" ht="15.75" customHeight="1">
      <c r="A355" s="3">
        <v>44971.0</v>
      </c>
      <c r="B355" s="2" t="s">
        <v>14</v>
      </c>
      <c r="C355" s="2" t="s">
        <v>17</v>
      </c>
      <c r="D355" s="2" t="s">
        <v>28</v>
      </c>
      <c r="E355" s="2">
        <v>6818.0</v>
      </c>
      <c r="F355" s="2">
        <v>613.62</v>
      </c>
      <c r="G355" s="2">
        <v>717.9354</v>
      </c>
      <c r="H355" s="2">
        <v>74.0</v>
      </c>
      <c r="I355" s="2">
        <v>2192.0</v>
      </c>
      <c r="J355" s="2">
        <f t="shared" si="1"/>
        <v>1.17</v>
      </c>
      <c r="K355" s="2">
        <f t="shared" si="2"/>
        <v>1.17</v>
      </c>
      <c r="L355" s="2">
        <f t="shared" si="3"/>
        <v>105.3</v>
      </c>
      <c r="M355" s="2">
        <f t="shared" si="4"/>
        <v>0.1205958085</v>
      </c>
    </row>
    <row r="356" ht="15.75" customHeight="1">
      <c r="A356" s="3">
        <v>44971.0</v>
      </c>
      <c r="B356" s="2" t="s">
        <v>20</v>
      </c>
      <c r="C356" s="2" t="s">
        <v>21</v>
      </c>
      <c r="D356" s="2" t="s">
        <v>16</v>
      </c>
      <c r="E356" s="2">
        <v>2899.0</v>
      </c>
      <c r="F356" s="2">
        <v>115.96000000000001</v>
      </c>
      <c r="G356" s="2">
        <v>35.9476</v>
      </c>
      <c r="H356" s="2">
        <v>7.0</v>
      </c>
      <c r="I356" s="2">
        <v>716.0</v>
      </c>
      <c r="J356" s="2">
        <f t="shared" si="1"/>
        <v>0.31</v>
      </c>
      <c r="K356" s="2">
        <f t="shared" si="2"/>
        <v>0.31</v>
      </c>
      <c r="L356" s="2">
        <f t="shared" si="3"/>
        <v>12.4</v>
      </c>
      <c r="M356" s="2">
        <f t="shared" si="4"/>
        <v>0.06036564333</v>
      </c>
    </row>
    <row r="357" ht="15.75" customHeight="1">
      <c r="A357" s="3">
        <v>44971.0</v>
      </c>
      <c r="B357" s="2" t="s">
        <v>20</v>
      </c>
      <c r="C357" s="2" t="s">
        <v>23</v>
      </c>
      <c r="D357" s="2" t="s">
        <v>16</v>
      </c>
      <c r="E357" s="2">
        <v>3854.0</v>
      </c>
      <c r="F357" s="2">
        <v>269.78000000000003</v>
      </c>
      <c r="G357" s="2">
        <v>132.1922</v>
      </c>
      <c r="H357" s="2">
        <v>51.0</v>
      </c>
      <c r="I357" s="2">
        <v>2842.0</v>
      </c>
      <c r="J357" s="2">
        <f t="shared" si="1"/>
        <v>0.49</v>
      </c>
      <c r="K357" s="2">
        <f t="shared" si="2"/>
        <v>0.49</v>
      </c>
      <c r="L357" s="2">
        <f t="shared" si="3"/>
        <v>34.3</v>
      </c>
      <c r="M357" s="2">
        <f t="shared" si="4"/>
        <v>0.1890429239</v>
      </c>
    </row>
    <row r="358" ht="15.75" customHeight="1">
      <c r="A358" s="3">
        <v>44971.0</v>
      </c>
      <c r="B358" s="2" t="s">
        <v>26</v>
      </c>
      <c r="C358" s="2" t="s">
        <v>27</v>
      </c>
      <c r="D358" s="2" t="s">
        <v>13</v>
      </c>
      <c r="E358" s="2">
        <v>9398.0</v>
      </c>
      <c r="F358" s="2">
        <v>751.84</v>
      </c>
      <c r="G358" s="2">
        <v>1255.5728</v>
      </c>
      <c r="H358" s="2">
        <v>68.0</v>
      </c>
      <c r="I358" s="2">
        <v>2904.0</v>
      </c>
      <c r="J358" s="2">
        <f t="shared" si="1"/>
        <v>1.67</v>
      </c>
      <c r="K358" s="2">
        <f t="shared" si="2"/>
        <v>1.67</v>
      </c>
      <c r="L358" s="2">
        <f t="shared" si="3"/>
        <v>133.6</v>
      </c>
      <c r="M358" s="2">
        <f t="shared" si="4"/>
        <v>0.09044477548</v>
      </c>
    </row>
    <row r="359" ht="15.75" customHeight="1">
      <c r="A359" s="3">
        <v>44971.0</v>
      </c>
      <c r="B359" s="2" t="s">
        <v>26</v>
      </c>
      <c r="C359" s="2" t="s">
        <v>31</v>
      </c>
      <c r="D359" s="2" t="s">
        <v>28</v>
      </c>
      <c r="E359" s="2">
        <v>13428.0</v>
      </c>
      <c r="F359" s="2">
        <v>268.56</v>
      </c>
      <c r="G359" s="2">
        <v>204.1056</v>
      </c>
      <c r="H359" s="2">
        <v>38.0</v>
      </c>
      <c r="I359" s="2">
        <v>4622.0</v>
      </c>
      <c r="J359" s="2">
        <f t="shared" si="1"/>
        <v>0.76</v>
      </c>
      <c r="K359" s="2">
        <f t="shared" si="2"/>
        <v>0.76</v>
      </c>
      <c r="L359" s="2">
        <f t="shared" si="3"/>
        <v>15.2</v>
      </c>
      <c r="M359" s="2">
        <f t="shared" si="4"/>
        <v>0.1414953828</v>
      </c>
    </row>
    <row r="360" ht="15.75" customHeight="1">
      <c r="A360" s="3">
        <v>44971.0</v>
      </c>
      <c r="B360" s="2" t="s">
        <v>33</v>
      </c>
      <c r="C360" s="2" t="s">
        <v>34</v>
      </c>
      <c r="D360" s="2" t="s">
        <v>13</v>
      </c>
      <c r="E360" s="2">
        <v>3981.0</v>
      </c>
      <c r="F360" s="2">
        <v>199.05</v>
      </c>
      <c r="G360" s="2">
        <v>0.0</v>
      </c>
      <c r="H360" s="2">
        <v>14.0</v>
      </c>
      <c r="I360" s="2">
        <v>1652.0</v>
      </c>
      <c r="J360" s="2">
        <f t="shared" si="1"/>
        <v>0</v>
      </c>
      <c r="K360" s="2">
        <f t="shared" si="2"/>
        <v>0</v>
      </c>
      <c r="L360" s="2">
        <f t="shared" si="3"/>
        <v>0</v>
      </c>
      <c r="M360" s="2">
        <f t="shared" si="4"/>
        <v>0.07033408691</v>
      </c>
    </row>
    <row r="361" ht="15.75" customHeight="1">
      <c r="A361" s="3">
        <v>44971.0</v>
      </c>
      <c r="B361" s="2" t="s">
        <v>33</v>
      </c>
      <c r="C361" s="2" t="s">
        <v>35</v>
      </c>
      <c r="D361" s="2" t="s">
        <v>32</v>
      </c>
      <c r="E361" s="2">
        <v>5418.0</v>
      </c>
      <c r="F361" s="2">
        <v>108.36</v>
      </c>
      <c r="G361" s="2">
        <v>0.0</v>
      </c>
      <c r="H361" s="2">
        <v>5.0</v>
      </c>
      <c r="I361" s="2">
        <v>4341.0</v>
      </c>
      <c r="J361" s="2">
        <f t="shared" si="1"/>
        <v>0</v>
      </c>
      <c r="K361" s="2">
        <f t="shared" si="2"/>
        <v>0</v>
      </c>
      <c r="L361" s="2">
        <f t="shared" si="3"/>
        <v>0</v>
      </c>
      <c r="M361" s="2">
        <f t="shared" si="4"/>
        <v>0.046142488</v>
      </c>
    </row>
    <row r="362" ht="15.75" customHeight="1">
      <c r="A362" s="3">
        <v>44972.0</v>
      </c>
      <c r="B362" s="2" t="s">
        <v>14</v>
      </c>
      <c r="C362" s="2" t="s">
        <v>15</v>
      </c>
      <c r="D362" s="2" t="s">
        <v>25</v>
      </c>
      <c r="E362" s="2">
        <v>7132.0</v>
      </c>
      <c r="F362" s="2">
        <v>499.24000000000007</v>
      </c>
      <c r="G362" s="2">
        <v>494.24760000000003</v>
      </c>
      <c r="H362" s="2">
        <v>95.0</v>
      </c>
      <c r="I362" s="2">
        <v>4154.0</v>
      </c>
      <c r="J362" s="2">
        <f t="shared" si="1"/>
        <v>0.99</v>
      </c>
      <c r="K362" s="2">
        <f t="shared" si="2"/>
        <v>0.99</v>
      </c>
      <c r="L362" s="2">
        <f t="shared" si="3"/>
        <v>69.3</v>
      </c>
      <c r="M362" s="2">
        <f t="shared" si="4"/>
        <v>0.1902892396</v>
      </c>
    </row>
    <row r="363" ht="15.75" customHeight="1">
      <c r="A363" s="3">
        <v>44972.0</v>
      </c>
      <c r="B363" s="2" t="s">
        <v>14</v>
      </c>
      <c r="C363" s="2" t="s">
        <v>17</v>
      </c>
      <c r="D363" s="2" t="s">
        <v>16</v>
      </c>
      <c r="E363" s="2">
        <v>9958.0</v>
      </c>
      <c r="F363" s="2">
        <v>597.48</v>
      </c>
      <c r="G363" s="2">
        <v>836.472</v>
      </c>
      <c r="H363" s="2">
        <v>66.0</v>
      </c>
      <c r="I363" s="2">
        <v>3062.0</v>
      </c>
      <c r="J363" s="2">
        <f t="shared" si="1"/>
        <v>1.4</v>
      </c>
      <c r="K363" s="2">
        <f t="shared" si="2"/>
        <v>1.4</v>
      </c>
      <c r="L363" s="2">
        <f t="shared" si="3"/>
        <v>84</v>
      </c>
      <c r="M363" s="2">
        <f t="shared" si="4"/>
        <v>0.1104639486</v>
      </c>
    </row>
    <row r="364" ht="15.75" customHeight="1">
      <c r="A364" s="3">
        <v>44972.0</v>
      </c>
      <c r="B364" s="2" t="s">
        <v>20</v>
      </c>
      <c r="C364" s="2" t="s">
        <v>21</v>
      </c>
      <c r="D364" s="2" t="s">
        <v>32</v>
      </c>
      <c r="E364" s="2">
        <v>4812.0</v>
      </c>
      <c r="F364" s="2">
        <v>240.60000000000002</v>
      </c>
      <c r="G364" s="2">
        <v>365.71200000000005</v>
      </c>
      <c r="H364" s="2">
        <v>12.0</v>
      </c>
      <c r="I364" s="2">
        <v>822.0</v>
      </c>
      <c r="J364" s="2">
        <f t="shared" si="1"/>
        <v>1.52</v>
      </c>
      <c r="K364" s="2">
        <f t="shared" si="2"/>
        <v>1.52</v>
      </c>
      <c r="L364" s="2">
        <f t="shared" si="3"/>
        <v>76</v>
      </c>
      <c r="M364" s="2">
        <f t="shared" si="4"/>
        <v>0.04987531172</v>
      </c>
    </row>
    <row r="365" ht="15.75" customHeight="1">
      <c r="A365" s="3">
        <v>44972.0</v>
      </c>
      <c r="B365" s="2" t="s">
        <v>20</v>
      </c>
      <c r="C365" s="2" t="s">
        <v>23</v>
      </c>
      <c r="D365" s="2" t="s">
        <v>13</v>
      </c>
      <c r="E365" s="2">
        <v>4180.0</v>
      </c>
      <c r="F365" s="2">
        <v>125.39999999999999</v>
      </c>
      <c r="G365" s="2">
        <v>41.382</v>
      </c>
      <c r="H365" s="2">
        <v>6.0</v>
      </c>
      <c r="I365" s="2">
        <v>2384.0</v>
      </c>
      <c r="J365" s="2">
        <f t="shared" si="1"/>
        <v>0.33</v>
      </c>
      <c r="K365" s="2">
        <f t="shared" si="2"/>
        <v>0.33</v>
      </c>
      <c r="L365" s="2">
        <f t="shared" si="3"/>
        <v>9.9</v>
      </c>
      <c r="M365" s="2">
        <f t="shared" si="4"/>
        <v>0.04784688995</v>
      </c>
    </row>
    <row r="366" ht="15.75" customHeight="1">
      <c r="A366" s="3">
        <v>44972.0</v>
      </c>
      <c r="B366" s="2" t="s">
        <v>26</v>
      </c>
      <c r="C366" s="2" t="s">
        <v>27</v>
      </c>
      <c r="D366" s="2" t="s">
        <v>28</v>
      </c>
      <c r="E366" s="2">
        <v>13578.0</v>
      </c>
      <c r="F366" s="2">
        <v>1357.8000000000002</v>
      </c>
      <c r="G366" s="2">
        <v>1181.286</v>
      </c>
      <c r="H366" s="2">
        <v>190.0</v>
      </c>
      <c r="I366" s="2">
        <v>2006.0</v>
      </c>
      <c r="J366" s="2">
        <f t="shared" si="1"/>
        <v>0.87</v>
      </c>
      <c r="K366" s="2">
        <f t="shared" si="2"/>
        <v>0.87</v>
      </c>
      <c r="L366" s="2">
        <f t="shared" si="3"/>
        <v>87</v>
      </c>
      <c r="M366" s="2">
        <f t="shared" si="4"/>
        <v>0.1399322433</v>
      </c>
    </row>
    <row r="367" ht="15.75" customHeight="1">
      <c r="A367" s="3">
        <v>44972.0</v>
      </c>
      <c r="B367" s="2" t="s">
        <v>26</v>
      </c>
      <c r="C367" s="2" t="s">
        <v>31</v>
      </c>
      <c r="D367" s="2" t="s">
        <v>16</v>
      </c>
      <c r="E367" s="2">
        <v>11675.0</v>
      </c>
      <c r="F367" s="2">
        <v>233.5</v>
      </c>
      <c r="G367" s="2">
        <v>436.64500000000004</v>
      </c>
      <c r="H367" s="2">
        <v>40.0</v>
      </c>
      <c r="I367" s="2">
        <v>2288.0</v>
      </c>
      <c r="J367" s="2">
        <f t="shared" si="1"/>
        <v>1.87</v>
      </c>
      <c r="K367" s="2">
        <f t="shared" si="2"/>
        <v>1.87</v>
      </c>
      <c r="L367" s="2">
        <f t="shared" si="3"/>
        <v>37.4</v>
      </c>
      <c r="M367" s="2">
        <f t="shared" si="4"/>
        <v>0.1713062099</v>
      </c>
    </row>
    <row r="368" ht="15.75" customHeight="1">
      <c r="A368" s="3">
        <v>44972.0</v>
      </c>
      <c r="B368" s="2" t="s">
        <v>33</v>
      </c>
      <c r="C368" s="2" t="s">
        <v>34</v>
      </c>
      <c r="D368" s="2" t="s">
        <v>28</v>
      </c>
      <c r="E368" s="2">
        <v>5974.0</v>
      </c>
      <c r="F368" s="2">
        <v>418.18000000000006</v>
      </c>
      <c r="G368" s="2">
        <v>0.0</v>
      </c>
      <c r="H368" s="2">
        <v>75.0</v>
      </c>
      <c r="I368" s="2">
        <v>134.0</v>
      </c>
      <c r="J368" s="2">
        <f t="shared" si="1"/>
        <v>0</v>
      </c>
      <c r="K368" s="2">
        <f t="shared" si="2"/>
        <v>0</v>
      </c>
      <c r="L368" s="2">
        <f t="shared" si="3"/>
        <v>0</v>
      </c>
      <c r="M368" s="2">
        <f t="shared" si="4"/>
        <v>0.1793486059</v>
      </c>
    </row>
    <row r="369" ht="15.75" customHeight="1">
      <c r="A369" s="3">
        <v>44972.0</v>
      </c>
      <c r="B369" s="2" t="s">
        <v>33</v>
      </c>
      <c r="C369" s="2" t="s">
        <v>35</v>
      </c>
      <c r="D369" s="2" t="s">
        <v>32</v>
      </c>
      <c r="E369" s="2">
        <v>3885.0</v>
      </c>
      <c r="F369" s="2">
        <v>77.7</v>
      </c>
      <c r="G369" s="2">
        <v>0.0</v>
      </c>
      <c r="H369" s="2">
        <v>11.0</v>
      </c>
      <c r="I369" s="2">
        <v>1097.0</v>
      </c>
      <c r="J369" s="2">
        <f t="shared" si="1"/>
        <v>0</v>
      </c>
      <c r="K369" s="2">
        <f t="shared" si="2"/>
        <v>0</v>
      </c>
      <c r="L369" s="2">
        <f t="shared" si="3"/>
        <v>0</v>
      </c>
      <c r="M369" s="2">
        <f t="shared" si="4"/>
        <v>0.1415701416</v>
      </c>
    </row>
    <row r="370" ht="15.75" customHeight="1">
      <c r="A370" s="3">
        <v>44973.0</v>
      </c>
      <c r="B370" s="2" t="s">
        <v>14</v>
      </c>
      <c r="C370" s="2" t="s">
        <v>15</v>
      </c>
      <c r="D370" s="2" t="s">
        <v>13</v>
      </c>
      <c r="E370" s="2">
        <v>8381.0</v>
      </c>
      <c r="F370" s="2">
        <v>335.24</v>
      </c>
      <c r="G370" s="2">
        <v>506.2124</v>
      </c>
      <c r="H370" s="2">
        <v>30.0</v>
      </c>
      <c r="I370" s="2">
        <v>4256.0</v>
      </c>
      <c r="J370" s="2">
        <f t="shared" si="1"/>
        <v>1.51</v>
      </c>
      <c r="K370" s="2">
        <f t="shared" si="2"/>
        <v>1.51</v>
      </c>
      <c r="L370" s="2">
        <f t="shared" si="3"/>
        <v>60.4</v>
      </c>
      <c r="M370" s="2">
        <f t="shared" si="4"/>
        <v>0.08948812791</v>
      </c>
    </row>
    <row r="371" ht="15.75" customHeight="1">
      <c r="A371" s="3">
        <v>44973.0</v>
      </c>
      <c r="B371" s="2" t="s">
        <v>14</v>
      </c>
      <c r="C371" s="2" t="s">
        <v>17</v>
      </c>
      <c r="D371" s="2" t="s">
        <v>18</v>
      </c>
      <c r="E371" s="2">
        <v>7037.0</v>
      </c>
      <c r="F371" s="2">
        <v>492.59000000000003</v>
      </c>
      <c r="G371" s="2">
        <v>546.7749000000001</v>
      </c>
      <c r="H371" s="2">
        <v>25.0</v>
      </c>
      <c r="I371" s="2">
        <v>4490.0</v>
      </c>
      <c r="J371" s="2">
        <f t="shared" si="1"/>
        <v>1.11</v>
      </c>
      <c r="K371" s="2">
        <f t="shared" si="2"/>
        <v>1.11</v>
      </c>
      <c r="L371" s="2">
        <f t="shared" si="3"/>
        <v>77.7</v>
      </c>
      <c r="M371" s="2">
        <f t="shared" si="4"/>
        <v>0.05075214682</v>
      </c>
    </row>
    <row r="372" ht="15.75" customHeight="1">
      <c r="A372" s="3">
        <v>44973.0</v>
      </c>
      <c r="B372" s="2" t="s">
        <v>20</v>
      </c>
      <c r="C372" s="2" t="s">
        <v>21</v>
      </c>
      <c r="D372" s="2" t="s">
        <v>30</v>
      </c>
      <c r="E372" s="2">
        <v>4480.0</v>
      </c>
      <c r="F372" s="2">
        <v>224.0</v>
      </c>
      <c r="G372" s="2">
        <v>257.59999999999997</v>
      </c>
      <c r="H372" s="2">
        <v>43.0</v>
      </c>
      <c r="I372" s="2">
        <v>1632.0</v>
      </c>
      <c r="J372" s="2">
        <f t="shared" si="1"/>
        <v>1.15</v>
      </c>
      <c r="K372" s="2">
        <f t="shared" si="2"/>
        <v>1.15</v>
      </c>
      <c r="L372" s="2">
        <f t="shared" si="3"/>
        <v>57.5</v>
      </c>
      <c r="M372" s="2">
        <f t="shared" si="4"/>
        <v>0.1919642857</v>
      </c>
    </row>
    <row r="373" ht="15.75" customHeight="1">
      <c r="A373" s="3">
        <v>44973.0</v>
      </c>
      <c r="B373" s="2" t="s">
        <v>20</v>
      </c>
      <c r="C373" s="2" t="s">
        <v>23</v>
      </c>
      <c r="D373" s="2" t="s">
        <v>19</v>
      </c>
      <c r="E373" s="2">
        <v>2351.0</v>
      </c>
      <c r="F373" s="2">
        <v>211.59</v>
      </c>
      <c r="G373" s="2">
        <v>82.5201</v>
      </c>
      <c r="H373" s="2">
        <v>38.0</v>
      </c>
      <c r="I373" s="2">
        <v>2015.0</v>
      </c>
      <c r="J373" s="2">
        <f t="shared" si="1"/>
        <v>0.39</v>
      </c>
      <c r="K373" s="2">
        <f t="shared" si="2"/>
        <v>0.39</v>
      </c>
      <c r="L373" s="2">
        <f t="shared" si="3"/>
        <v>35.1</v>
      </c>
      <c r="M373" s="2">
        <f t="shared" si="4"/>
        <v>0.1795926083</v>
      </c>
    </row>
    <row r="374" ht="15.75" customHeight="1">
      <c r="A374" s="3">
        <v>44973.0</v>
      </c>
      <c r="B374" s="2" t="s">
        <v>26</v>
      </c>
      <c r="C374" s="2" t="s">
        <v>27</v>
      </c>
      <c r="D374" s="2" t="s">
        <v>32</v>
      </c>
      <c r="E374" s="2">
        <v>14817.0</v>
      </c>
      <c r="F374" s="2">
        <v>1185.3600000000001</v>
      </c>
      <c r="G374" s="2">
        <v>1943.9904000000001</v>
      </c>
      <c r="H374" s="2">
        <v>107.0</v>
      </c>
      <c r="I374" s="2">
        <v>165.0</v>
      </c>
      <c r="J374" s="2">
        <f t="shared" si="1"/>
        <v>1.64</v>
      </c>
      <c r="K374" s="2">
        <f t="shared" si="2"/>
        <v>1.64</v>
      </c>
      <c r="L374" s="2">
        <f t="shared" si="3"/>
        <v>131.2</v>
      </c>
      <c r="M374" s="2">
        <f t="shared" si="4"/>
        <v>0.09026793548</v>
      </c>
    </row>
    <row r="375" ht="15.75" customHeight="1">
      <c r="A375" s="3">
        <v>44973.0</v>
      </c>
      <c r="B375" s="2" t="s">
        <v>26</v>
      </c>
      <c r="C375" s="2" t="s">
        <v>31</v>
      </c>
      <c r="D375" s="2" t="s">
        <v>22</v>
      </c>
      <c r="E375" s="2">
        <v>11985.0</v>
      </c>
      <c r="F375" s="2">
        <v>599.25</v>
      </c>
      <c r="G375" s="2">
        <v>1138.575</v>
      </c>
      <c r="H375" s="2">
        <v>108.0</v>
      </c>
      <c r="I375" s="2">
        <v>2558.0</v>
      </c>
      <c r="J375" s="2">
        <f t="shared" si="1"/>
        <v>1.9</v>
      </c>
      <c r="K375" s="2">
        <f t="shared" si="2"/>
        <v>1.9</v>
      </c>
      <c r="L375" s="2">
        <f t="shared" si="3"/>
        <v>95</v>
      </c>
      <c r="M375" s="2">
        <f t="shared" si="4"/>
        <v>0.1802252816</v>
      </c>
    </row>
    <row r="376" ht="15.75" customHeight="1">
      <c r="A376" s="3">
        <v>44973.0</v>
      </c>
      <c r="B376" s="2" t="s">
        <v>33</v>
      </c>
      <c r="C376" s="2" t="s">
        <v>34</v>
      </c>
      <c r="D376" s="2" t="s">
        <v>25</v>
      </c>
      <c r="E376" s="2">
        <v>2519.0</v>
      </c>
      <c r="F376" s="2">
        <v>75.57</v>
      </c>
      <c r="G376" s="2">
        <v>0.0</v>
      </c>
      <c r="H376" s="2">
        <v>6.0</v>
      </c>
      <c r="I376" s="2">
        <v>3397.0</v>
      </c>
      <c r="J376" s="2">
        <f t="shared" si="1"/>
        <v>0</v>
      </c>
      <c r="K376" s="2">
        <f t="shared" si="2"/>
        <v>0</v>
      </c>
      <c r="L376" s="2">
        <f t="shared" si="3"/>
        <v>0</v>
      </c>
      <c r="M376" s="2">
        <f t="shared" si="4"/>
        <v>0.07939658595</v>
      </c>
    </row>
    <row r="377" ht="15.75" customHeight="1">
      <c r="A377" s="3">
        <v>44973.0</v>
      </c>
      <c r="B377" s="2" t="s">
        <v>33</v>
      </c>
      <c r="C377" s="2" t="s">
        <v>35</v>
      </c>
      <c r="D377" s="2" t="s">
        <v>18</v>
      </c>
      <c r="E377" s="2">
        <v>2804.0</v>
      </c>
      <c r="F377" s="2">
        <v>56.08</v>
      </c>
      <c r="G377" s="2">
        <v>0.0</v>
      </c>
      <c r="H377" s="2">
        <v>3.0</v>
      </c>
      <c r="I377" s="2">
        <v>3100.0</v>
      </c>
      <c r="J377" s="2">
        <f t="shared" si="1"/>
        <v>0</v>
      </c>
      <c r="K377" s="2">
        <f t="shared" si="2"/>
        <v>0</v>
      </c>
      <c r="L377" s="2">
        <f t="shared" si="3"/>
        <v>0</v>
      </c>
      <c r="M377" s="2">
        <f t="shared" si="4"/>
        <v>0.05349500713</v>
      </c>
    </row>
    <row r="378" ht="15.75" customHeight="1">
      <c r="A378" s="3">
        <v>44974.0</v>
      </c>
      <c r="B378" s="2" t="s">
        <v>14</v>
      </c>
      <c r="C378" s="2" t="s">
        <v>15</v>
      </c>
      <c r="D378" s="2" t="s">
        <v>19</v>
      </c>
      <c r="E378" s="2">
        <v>8353.0</v>
      </c>
      <c r="F378" s="2">
        <v>835.3000000000001</v>
      </c>
      <c r="G378" s="2">
        <v>542.945</v>
      </c>
      <c r="H378" s="2">
        <v>100.0</v>
      </c>
      <c r="I378" s="2">
        <v>4542.0</v>
      </c>
      <c r="J378" s="2">
        <f t="shared" si="1"/>
        <v>0.65</v>
      </c>
      <c r="K378" s="2">
        <f t="shared" si="2"/>
        <v>0.65</v>
      </c>
      <c r="L378" s="2">
        <f t="shared" si="3"/>
        <v>65</v>
      </c>
      <c r="M378" s="2">
        <f t="shared" si="4"/>
        <v>0.1197174668</v>
      </c>
    </row>
    <row r="379" ht="15.75" customHeight="1">
      <c r="A379" s="3">
        <v>44974.0</v>
      </c>
      <c r="B379" s="2" t="s">
        <v>14</v>
      </c>
      <c r="C379" s="2" t="s">
        <v>17</v>
      </c>
      <c r="D379" s="2" t="s">
        <v>19</v>
      </c>
      <c r="E379" s="2">
        <v>9065.0</v>
      </c>
      <c r="F379" s="2">
        <v>271.95</v>
      </c>
      <c r="G379" s="2">
        <v>228.438</v>
      </c>
      <c r="H379" s="2">
        <v>16.0</v>
      </c>
      <c r="I379" s="2">
        <v>1959.0</v>
      </c>
      <c r="J379" s="2">
        <f t="shared" si="1"/>
        <v>0.84</v>
      </c>
      <c r="K379" s="2">
        <f t="shared" si="2"/>
        <v>0.84</v>
      </c>
      <c r="L379" s="2">
        <f t="shared" si="3"/>
        <v>25.2</v>
      </c>
      <c r="M379" s="2">
        <f t="shared" si="4"/>
        <v>0.05883434455</v>
      </c>
    </row>
    <row r="380" ht="15.75" customHeight="1">
      <c r="A380" s="3">
        <v>44974.0</v>
      </c>
      <c r="B380" s="2" t="s">
        <v>20</v>
      </c>
      <c r="C380" s="2" t="s">
        <v>21</v>
      </c>
      <c r="D380" s="2" t="s">
        <v>28</v>
      </c>
      <c r="E380" s="2">
        <v>4016.0</v>
      </c>
      <c r="F380" s="2">
        <v>200.8</v>
      </c>
      <c r="G380" s="2">
        <v>311.24</v>
      </c>
      <c r="H380" s="2">
        <v>20.0</v>
      </c>
      <c r="I380" s="2">
        <v>2067.0</v>
      </c>
      <c r="J380" s="2">
        <f t="shared" si="1"/>
        <v>1.55</v>
      </c>
      <c r="K380" s="2">
        <f t="shared" si="2"/>
        <v>1.55</v>
      </c>
      <c r="L380" s="2">
        <f t="shared" si="3"/>
        <v>77.5</v>
      </c>
      <c r="M380" s="2">
        <f t="shared" si="4"/>
        <v>0.09960159363</v>
      </c>
    </row>
    <row r="381" ht="15.75" customHeight="1">
      <c r="A381" s="3">
        <v>44974.0</v>
      </c>
      <c r="B381" s="2" t="s">
        <v>20</v>
      </c>
      <c r="C381" s="2" t="s">
        <v>23</v>
      </c>
      <c r="D381" s="2" t="s">
        <v>22</v>
      </c>
      <c r="E381" s="2">
        <v>2018.0</v>
      </c>
      <c r="F381" s="2">
        <v>121.08</v>
      </c>
      <c r="G381" s="2">
        <v>37.5348</v>
      </c>
      <c r="H381" s="2">
        <v>24.0</v>
      </c>
      <c r="I381" s="2">
        <v>2914.0</v>
      </c>
      <c r="J381" s="2">
        <f t="shared" si="1"/>
        <v>0.31</v>
      </c>
      <c r="K381" s="2">
        <f t="shared" si="2"/>
        <v>0.31</v>
      </c>
      <c r="L381" s="2">
        <f t="shared" si="3"/>
        <v>18.6</v>
      </c>
      <c r="M381" s="2">
        <f t="shared" si="4"/>
        <v>0.1982160555</v>
      </c>
    </row>
    <row r="382" ht="15.75" customHeight="1">
      <c r="A382" s="3">
        <v>44974.0</v>
      </c>
      <c r="B382" s="2" t="s">
        <v>26</v>
      </c>
      <c r="C382" s="2" t="s">
        <v>27</v>
      </c>
      <c r="D382" s="2" t="s">
        <v>28</v>
      </c>
      <c r="E382" s="2">
        <v>13798.0</v>
      </c>
      <c r="F382" s="2">
        <v>827.88</v>
      </c>
      <c r="G382" s="2">
        <v>703.698</v>
      </c>
      <c r="H382" s="2">
        <v>83.0</v>
      </c>
      <c r="I382" s="2">
        <v>4302.0</v>
      </c>
      <c r="J382" s="2">
        <f t="shared" si="1"/>
        <v>0.85</v>
      </c>
      <c r="K382" s="2">
        <f t="shared" si="2"/>
        <v>0.85</v>
      </c>
      <c r="L382" s="2">
        <f t="shared" si="3"/>
        <v>51</v>
      </c>
      <c r="M382" s="2">
        <f t="shared" si="4"/>
        <v>0.1002560758</v>
      </c>
    </row>
    <row r="383" ht="15.75" customHeight="1">
      <c r="A383" s="3">
        <v>44974.0</v>
      </c>
      <c r="B383" s="2" t="s">
        <v>26</v>
      </c>
      <c r="C383" s="2" t="s">
        <v>31</v>
      </c>
      <c r="D383" s="2" t="s">
        <v>18</v>
      </c>
      <c r="E383" s="2">
        <v>10970.0</v>
      </c>
      <c r="F383" s="2">
        <v>438.8</v>
      </c>
      <c r="G383" s="2">
        <v>372.98</v>
      </c>
      <c r="H383" s="2">
        <v>83.0</v>
      </c>
      <c r="I383" s="2">
        <v>2832.0</v>
      </c>
      <c r="J383" s="2">
        <f t="shared" si="1"/>
        <v>0.85</v>
      </c>
      <c r="K383" s="2">
        <f t="shared" si="2"/>
        <v>0.85</v>
      </c>
      <c r="L383" s="2">
        <f t="shared" si="3"/>
        <v>34</v>
      </c>
      <c r="M383" s="2">
        <f t="shared" si="4"/>
        <v>0.1891522334</v>
      </c>
    </row>
    <row r="384" ht="15.75" customHeight="1">
      <c r="A384" s="3">
        <v>44974.0</v>
      </c>
      <c r="B384" s="2" t="s">
        <v>33</v>
      </c>
      <c r="C384" s="2" t="s">
        <v>34</v>
      </c>
      <c r="D384" s="2" t="s">
        <v>30</v>
      </c>
      <c r="E384" s="2">
        <v>3924.0</v>
      </c>
      <c r="F384" s="2">
        <v>196.20000000000002</v>
      </c>
      <c r="G384" s="2">
        <v>0.0</v>
      </c>
      <c r="H384" s="2">
        <v>20.0</v>
      </c>
      <c r="I384" s="2">
        <v>4149.0</v>
      </c>
      <c r="J384" s="2">
        <f t="shared" si="1"/>
        <v>0</v>
      </c>
      <c r="K384" s="2">
        <f t="shared" si="2"/>
        <v>0</v>
      </c>
      <c r="L384" s="2">
        <f t="shared" si="3"/>
        <v>0</v>
      </c>
      <c r="M384" s="2">
        <f t="shared" si="4"/>
        <v>0.1019367992</v>
      </c>
    </row>
    <row r="385" ht="15.75" customHeight="1">
      <c r="A385" s="3">
        <v>44974.0</v>
      </c>
      <c r="B385" s="2" t="s">
        <v>33</v>
      </c>
      <c r="C385" s="2" t="s">
        <v>35</v>
      </c>
      <c r="D385" s="2" t="s">
        <v>19</v>
      </c>
      <c r="E385" s="2">
        <v>4212.0</v>
      </c>
      <c r="F385" s="2">
        <v>336.96</v>
      </c>
      <c r="G385" s="2">
        <v>0.0</v>
      </c>
      <c r="H385" s="2">
        <v>30.0</v>
      </c>
      <c r="I385" s="2">
        <v>2144.0</v>
      </c>
      <c r="J385" s="2">
        <f t="shared" si="1"/>
        <v>0</v>
      </c>
      <c r="K385" s="2">
        <f t="shared" si="2"/>
        <v>0</v>
      </c>
      <c r="L385" s="2">
        <f t="shared" si="3"/>
        <v>0</v>
      </c>
      <c r="M385" s="2">
        <f t="shared" si="4"/>
        <v>0.08903133903</v>
      </c>
    </row>
    <row r="386" ht="15.75" customHeight="1">
      <c r="A386" s="3">
        <v>44975.0</v>
      </c>
      <c r="B386" s="2" t="s">
        <v>14</v>
      </c>
      <c r="C386" s="2" t="s">
        <v>15</v>
      </c>
      <c r="D386" s="2" t="s">
        <v>19</v>
      </c>
      <c r="E386" s="2">
        <v>6216.0</v>
      </c>
      <c r="F386" s="2">
        <v>310.8</v>
      </c>
      <c r="G386" s="2">
        <v>289.04400000000004</v>
      </c>
      <c r="H386" s="2">
        <v>19.0</v>
      </c>
      <c r="I386" s="2">
        <v>3234.0</v>
      </c>
      <c r="J386" s="2">
        <f t="shared" si="1"/>
        <v>0.93</v>
      </c>
      <c r="K386" s="2">
        <f t="shared" si="2"/>
        <v>0.93</v>
      </c>
      <c r="L386" s="2">
        <f t="shared" si="3"/>
        <v>46.5</v>
      </c>
      <c r="M386" s="2">
        <f t="shared" si="4"/>
        <v>0.06113256113</v>
      </c>
    </row>
    <row r="387" ht="15.75" customHeight="1">
      <c r="A387" s="3">
        <v>44975.0</v>
      </c>
      <c r="B387" s="2" t="s">
        <v>14</v>
      </c>
      <c r="C387" s="2" t="s">
        <v>17</v>
      </c>
      <c r="D387" s="2" t="s">
        <v>16</v>
      </c>
      <c r="E387" s="2">
        <v>5790.0</v>
      </c>
      <c r="F387" s="2">
        <v>405.3</v>
      </c>
      <c r="G387" s="2">
        <v>149.961</v>
      </c>
      <c r="H387" s="2">
        <v>49.0</v>
      </c>
      <c r="I387" s="2">
        <v>230.0</v>
      </c>
      <c r="J387" s="2">
        <f t="shared" si="1"/>
        <v>0.37</v>
      </c>
      <c r="K387" s="2">
        <f t="shared" si="2"/>
        <v>0.37</v>
      </c>
      <c r="L387" s="2">
        <f t="shared" si="3"/>
        <v>25.9</v>
      </c>
      <c r="M387" s="2">
        <f t="shared" si="4"/>
        <v>0.1208981002</v>
      </c>
    </row>
    <row r="388" ht="15.75" customHeight="1">
      <c r="A388" s="3">
        <v>44975.0</v>
      </c>
      <c r="B388" s="2" t="s">
        <v>20</v>
      </c>
      <c r="C388" s="2" t="s">
        <v>21</v>
      </c>
      <c r="D388" s="2" t="s">
        <v>16</v>
      </c>
      <c r="E388" s="2">
        <v>3328.0</v>
      </c>
      <c r="F388" s="2">
        <v>66.56</v>
      </c>
      <c r="G388" s="2">
        <v>125.7984</v>
      </c>
      <c r="H388" s="2">
        <v>7.0</v>
      </c>
      <c r="I388" s="2">
        <v>3852.0</v>
      </c>
      <c r="J388" s="2">
        <f t="shared" si="1"/>
        <v>1.89</v>
      </c>
      <c r="K388" s="2">
        <f t="shared" si="2"/>
        <v>1.89</v>
      </c>
      <c r="L388" s="2">
        <f t="shared" si="3"/>
        <v>37.8</v>
      </c>
      <c r="M388" s="2">
        <f t="shared" si="4"/>
        <v>0.1051682692</v>
      </c>
    </row>
    <row r="389" ht="15.75" customHeight="1">
      <c r="A389" s="3">
        <v>44975.0</v>
      </c>
      <c r="B389" s="2" t="s">
        <v>20</v>
      </c>
      <c r="C389" s="2" t="s">
        <v>23</v>
      </c>
      <c r="D389" s="2" t="s">
        <v>25</v>
      </c>
      <c r="E389" s="2">
        <v>2268.0</v>
      </c>
      <c r="F389" s="2">
        <v>45.36</v>
      </c>
      <c r="G389" s="2">
        <v>14.0616</v>
      </c>
      <c r="H389" s="2">
        <v>5.0</v>
      </c>
      <c r="I389" s="2">
        <v>322.0</v>
      </c>
      <c r="J389" s="2">
        <f t="shared" si="1"/>
        <v>0.31</v>
      </c>
      <c r="K389" s="2">
        <f t="shared" si="2"/>
        <v>0.31</v>
      </c>
      <c r="L389" s="2">
        <f t="shared" si="3"/>
        <v>6.2</v>
      </c>
      <c r="M389" s="2">
        <f t="shared" si="4"/>
        <v>0.1102292769</v>
      </c>
    </row>
    <row r="390" ht="15.75" customHeight="1">
      <c r="A390" s="3">
        <v>44975.0</v>
      </c>
      <c r="B390" s="2" t="s">
        <v>26</v>
      </c>
      <c r="C390" s="2" t="s">
        <v>27</v>
      </c>
      <c r="D390" s="2" t="s">
        <v>30</v>
      </c>
      <c r="E390" s="2">
        <v>11709.0</v>
      </c>
      <c r="F390" s="2">
        <v>702.54</v>
      </c>
      <c r="G390" s="2">
        <v>1271.5973999999999</v>
      </c>
      <c r="H390" s="2">
        <v>126.0</v>
      </c>
      <c r="I390" s="2">
        <v>1317.0</v>
      </c>
      <c r="J390" s="2">
        <f t="shared" si="1"/>
        <v>1.81</v>
      </c>
      <c r="K390" s="2">
        <f t="shared" si="2"/>
        <v>1.81</v>
      </c>
      <c r="L390" s="2">
        <f t="shared" si="3"/>
        <v>108.6</v>
      </c>
      <c r="M390" s="2">
        <f t="shared" si="4"/>
        <v>0.1793492185</v>
      </c>
    </row>
    <row r="391" ht="15.75" customHeight="1">
      <c r="A391" s="3">
        <v>44975.0</v>
      </c>
      <c r="B391" s="2" t="s">
        <v>26</v>
      </c>
      <c r="C391" s="2" t="s">
        <v>31</v>
      </c>
      <c r="D391" s="2" t="s">
        <v>25</v>
      </c>
      <c r="E391" s="2">
        <v>10368.0</v>
      </c>
      <c r="F391" s="2">
        <v>414.72</v>
      </c>
      <c r="G391" s="2">
        <v>738.2016000000001</v>
      </c>
      <c r="H391" s="2">
        <v>66.0</v>
      </c>
      <c r="I391" s="2">
        <v>336.0</v>
      </c>
      <c r="J391" s="2">
        <f t="shared" si="1"/>
        <v>1.78</v>
      </c>
      <c r="K391" s="2">
        <f t="shared" si="2"/>
        <v>1.78</v>
      </c>
      <c r="L391" s="2">
        <f t="shared" si="3"/>
        <v>71.2</v>
      </c>
      <c r="M391" s="2">
        <f t="shared" si="4"/>
        <v>0.1591435185</v>
      </c>
    </row>
    <row r="392" ht="15.75" customHeight="1">
      <c r="A392" s="3">
        <v>44975.0</v>
      </c>
      <c r="B392" s="2" t="s">
        <v>33</v>
      </c>
      <c r="C392" s="2" t="s">
        <v>34</v>
      </c>
      <c r="D392" s="2" t="s">
        <v>16</v>
      </c>
      <c r="E392" s="2">
        <v>2704.0</v>
      </c>
      <c r="F392" s="2">
        <v>54.08</v>
      </c>
      <c r="G392" s="2">
        <v>0.0</v>
      </c>
      <c r="H392" s="2">
        <v>10.0</v>
      </c>
      <c r="I392" s="2">
        <v>2522.0</v>
      </c>
      <c r="J392" s="2">
        <f t="shared" si="1"/>
        <v>0</v>
      </c>
      <c r="K392" s="2">
        <f t="shared" si="2"/>
        <v>0</v>
      </c>
      <c r="L392" s="2">
        <f t="shared" si="3"/>
        <v>0</v>
      </c>
      <c r="M392" s="2">
        <f t="shared" si="4"/>
        <v>0.1849112426</v>
      </c>
    </row>
    <row r="393" ht="15.75" customHeight="1">
      <c r="A393" s="3">
        <v>44975.0</v>
      </c>
      <c r="B393" s="2" t="s">
        <v>33</v>
      </c>
      <c r="C393" s="2" t="s">
        <v>35</v>
      </c>
      <c r="D393" s="2" t="s">
        <v>25</v>
      </c>
      <c r="E393" s="2">
        <v>5413.0</v>
      </c>
      <c r="F393" s="2">
        <v>324.78</v>
      </c>
      <c r="G393" s="2">
        <v>0.0</v>
      </c>
      <c r="H393" s="2">
        <v>26.0</v>
      </c>
      <c r="I393" s="2">
        <v>1449.0</v>
      </c>
      <c r="J393" s="2">
        <f t="shared" si="1"/>
        <v>0</v>
      </c>
      <c r="K393" s="2">
        <f t="shared" si="2"/>
        <v>0</v>
      </c>
      <c r="L393" s="2">
        <f t="shared" si="3"/>
        <v>0</v>
      </c>
      <c r="M393" s="2">
        <f t="shared" si="4"/>
        <v>0.08005419053</v>
      </c>
    </row>
    <row r="394" ht="15.75" customHeight="1">
      <c r="A394" s="3">
        <v>44976.0</v>
      </c>
      <c r="B394" s="2" t="s">
        <v>14</v>
      </c>
      <c r="C394" s="2" t="s">
        <v>15</v>
      </c>
      <c r="D394" s="2" t="s">
        <v>25</v>
      </c>
      <c r="E394" s="2">
        <v>9873.0</v>
      </c>
      <c r="F394" s="2">
        <v>493.65000000000003</v>
      </c>
      <c r="G394" s="2">
        <v>770.094</v>
      </c>
      <c r="H394" s="2">
        <v>54.0</v>
      </c>
      <c r="I394" s="2">
        <v>2351.0</v>
      </c>
      <c r="J394" s="2">
        <f t="shared" si="1"/>
        <v>1.56</v>
      </c>
      <c r="K394" s="2">
        <f t="shared" si="2"/>
        <v>1.56</v>
      </c>
      <c r="L394" s="2">
        <f t="shared" si="3"/>
        <v>78</v>
      </c>
      <c r="M394" s="2">
        <f t="shared" si="4"/>
        <v>0.1093892434</v>
      </c>
    </row>
    <row r="395" ht="15.75" customHeight="1">
      <c r="A395" s="3">
        <v>44976.0</v>
      </c>
      <c r="B395" s="2" t="s">
        <v>14</v>
      </c>
      <c r="C395" s="2" t="s">
        <v>17</v>
      </c>
      <c r="D395" s="2" t="s">
        <v>19</v>
      </c>
      <c r="E395" s="2">
        <v>9370.0</v>
      </c>
      <c r="F395" s="2">
        <v>187.4</v>
      </c>
      <c r="G395" s="2">
        <v>164.912</v>
      </c>
      <c r="H395" s="2">
        <v>36.0</v>
      </c>
      <c r="I395" s="2">
        <v>4391.0</v>
      </c>
      <c r="J395" s="2">
        <f t="shared" si="1"/>
        <v>0.88</v>
      </c>
      <c r="K395" s="2">
        <f t="shared" si="2"/>
        <v>0.88</v>
      </c>
      <c r="L395" s="2">
        <f t="shared" si="3"/>
        <v>17.6</v>
      </c>
      <c r="M395" s="2">
        <f t="shared" si="4"/>
        <v>0.1921024546</v>
      </c>
    </row>
    <row r="396" ht="15.75" customHeight="1">
      <c r="A396" s="3">
        <v>44976.0</v>
      </c>
      <c r="B396" s="2" t="s">
        <v>20</v>
      </c>
      <c r="C396" s="2" t="s">
        <v>21</v>
      </c>
      <c r="D396" s="2" t="s">
        <v>22</v>
      </c>
      <c r="E396" s="2">
        <v>3432.0</v>
      </c>
      <c r="F396" s="2">
        <v>137.28</v>
      </c>
      <c r="G396" s="2">
        <v>96.09599999999999</v>
      </c>
      <c r="H396" s="2">
        <v>23.0</v>
      </c>
      <c r="I396" s="2">
        <v>1336.0</v>
      </c>
      <c r="J396" s="2">
        <f t="shared" si="1"/>
        <v>0.7</v>
      </c>
      <c r="K396" s="2">
        <f t="shared" si="2"/>
        <v>0.7</v>
      </c>
      <c r="L396" s="2">
        <f t="shared" si="3"/>
        <v>28</v>
      </c>
      <c r="M396" s="2">
        <f t="shared" si="4"/>
        <v>0.1675407925</v>
      </c>
    </row>
    <row r="397" ht="15.75" customHeight="1">
      <c r="A397" s="3">
        <v>44976.0</v>
      </c>
      <c r="B397" s="2" t="s">
        <v>20</v>
      </c>
      <c r="C397" s="2" t="s">
        <v>23</v>
      </c>
      <c r="D397" s="2" t="s">
        <v>22</v>
      </c>
      <c r="E397" s="2">
        <v>5723.0</v>
      </c>
      <c r="F397" s="2">
        <v>515.0699999999999</v>
      </c>
      <c r="G397" s="2">
        <v>473.8644</v>
      </c>
      <c r="H397" s="2">
        <v>82.0</v>
      </c>
      <c r="I397" s="2">
        <v>3170.0</v>
      </c>
      <c r="J397" s="2">
        <f t="shared" si="1"/>
        <v>0.92</v>
      </c>
      <c r="K397" s="2">
        <f t="shared" si="2"/>
        <v>0.92</v>
      </c>
      <c r="L397" s="2">
        <f t="shared" si="3"/>
        <v>82.8</v>
      </c>
      <c r="M397" s="2">
        <f t="shared" si="4"/>
        <v>0.1592016619</v>
      </c>
    </row>
    <row r="398" ht="15.75" customHeight="1">
      <c r="A398" s="3">
        <v>44976.0</v>
      </c>
      <c r="B398" s="2" t="s">
        <v>26</v>
      </c>
      <c r="C398" s="2" t="s">
        <v>27</v>
      </c>
      <c r="D398" s="2" t="s">
        <v>24</v>
      </c>
      <c r="E398" s="2">
        <v>12566.0</v>
      </c>
      <c r="F398" s="2">
        <v>376.97999999999996</v>
      </c>
      <c r="G398" s="2">
        <v>131.94299999999998</v>
      </c>
      <c r="H398" s="2">
        <v>53.0</v>
      </c>
      <c r="I398" s="2">
        <v>4271.0</v>
      </c>
      <c r="J398" s="2">
        <f t="shared" si="1"/>
        <v>0.35</v>
      </c>
      <c r="K398" s="2">
        <f t="shared" si="2"/>
        <v>0.35</v>
      </c>
      <c r="L398" s="2">
        <f t="shared" si="3"/>
        <v>10.5</v>
      </c>
      <c r="M398" s="2">
        <f t="shared" si="4"/>
        <v>0.1405910128</v>
      </c>
    </row>
    <row r="399" ht="15.75" customHeight="1">
      <c r="A399" s="3">
        <v>44976.0</v>
      </c>
      <c r="B399" s="2" t="s">
        <v>26</v>
      </c>
      <c r="C399" s="2" t="s">
        <v>31</v>
      </c>
      <c r="D399" s="2" t="s">
        <v>25</v>
      </c>
      <c r="E399" s="2">
        <v>8426.0</v>
      </c>
      <c r="F399" s="2">
        <v>589.82</v>
      </c>
      <c r="G399" s="2">
        <v>1067.5742</v>
      </c>
      <c r="H399" s="2">
        <v>118.0</v>
      </c>
      <c r="I399" s="2">
        <v>329.0</v>
      </c>
      <c r="J399" s="2">
        <f t="shared" si="1"/>
        <v>1.81</v>
      </c>
      <c r="K399" s="2">
        <f t="shared" si="2"/>
        <v>1.81</v>
      </c>
      <c r="L399" s="2">
        <f t="shared" si="3"/>
        <v>126.7</v>
      </c>
      <c r="M399" s="2">
        <f t="shared" si="4"/>
        <v>0.2000610356</v>
      </c>
    </row>
    <row r="400" ht="15.75" customHeight="1">
      <c r="A400" s="3">
        <v>44976.0</v>
      </c>
      <c r="B400" s="2" t="s">
        <v>33</v>
      </c>
      <c r="C400" s="2" t="s">
        <v>34</v>
      </c>
      <c r="D400" s="2" t="s">
        <v>30</v>
      </c>
      <c r="E400" s="2">
        <v>3418.0</v>
      </c>
      <c r="F400" s="2">
        <v>341.8</v>
      </c>
      <c r="G400" s="2">
        <v>0.0</v>
      </c>
      <c r="H400" s="2">
        <v>38.0</v>
      </c>
      <c r="I400" s="2">
        <v>3083.0</v>
      </c>
      <c r="J400" s="2">
        <f t="shared" si="1"/>
        <v>0</v>
      </c>
      <c r="K400" s="2">
        <f t="shared" si="2"/>
        <v>0</v>
      </c>
      <c r="L400" s="2">
        <f t="shared" si="3"/>
        <v>0</v>
      </c>
      <c r="M400" s="2">
        <f t="shared" si="4"/>
        <v>0.1111761264</v>
      </c>
    </row>
    <row r="401" ht="15.75" customHeight="1">
      <c r="A401" s="3">
        <v>44976.0</v>
      </c>
      <c r="B401" s="2" t="s">
        <v>33</v>
      </c>
      <c r="C401" s="2" t="s">
        <v>35</v>
      </c>
      <c r="D401" s="2" t="s">
        <v>25</v>
      </c>
      <c r="E401" s="2">
        <v>5598.0</v>
      </c>
      <c r="F401" s="2">
        <v>279.90000000000003</v>
      </c>
      <c r="G401" s="2">
        <v>0.0</v>
      </c>
      <c r="H401" s="2">
        <v>25.0</v>
      </c>
      <c r="I401" s="2">
        <v>4809.0</v>
      </c>
      <c r="J401" s="2">
        <f t="shared" si="1"/>
        <v>0</v>
      </c>
      <c r="K401" s="2">
        <f t="shared" si="2"/>
        <v>0</v>
      </c>
      <c r="L401" s="2">
        <f t="shared" si="3"/>
        <v>0</v>
      </c>
      <c r="M401" s="2">
        <f t="shared" si="4"/>
        <v>0.08931761343</v>
      </c>
    </row>
    <row r="402" ht="15.75" customHeight="1">
      <c r="A402" s="3">
        <v>44977.0</v>
      </c>
      <c r="B402" s="2" t="s">
        <v>14</v>
      </c>
      <c r="C402" s="2" t="s">
        <v>15</v>
      </c>
      <c r="D402" s="2" t="s">
        <v>13</v>
      </c>
      <c r="E402" s="2">
        <v>8822.0</v>
      </c>
      <c r="F402" s="2">
        <v>793.98</v>
      </c>
      <c r="G402" s="2">
        <v>746.3412</v>
      </c>
      <c r="H402" s="2">
        <v>48.0</v>
      </c>
      <c r="I402" s="2">
        <v>1149.0</v>
      </c>
      <c r="J402" s="2">
        <f t="shared" si="1"/>
        <v>0.94</v>
      </c>
      <c r="K402" s="2">
        <f t="shared" si="2"/>
        <v>0.94</v>
      </c>
      <c r="L402" s="2">
        <f t="shared" si="3"/>
        <v>84.6</v>
      </c>
      <c r="M402" s="2">
        <f t="shared" si="4"/>
        <v>0.0604549233</v>
      </c>
    </row>
    <row r="403" ht="15.75" customHeight="1">
      <c r="A403" s="3">
        <v>44977.0</v>
      </c>
      <c r="B403" s="2" t="s">
        <v>14</v>
      </c>
      <c r="C403" s="2" t="s">
        <v>17</v>
      </c>
      <c r="D403" s="2" t="s">
        <v>25</v>
      </c>
      <c r="E403" s="2">
        <v>10606.0</v>
      </c>
      <c r="F403" s="2">
        <v>848.48</v>
      </c>
      <c r="G403" s="2">
        <v>1060.6</v>
      </c>
      <c r="H403" s="2">
        <v>42.0</v>
      </c>
      <c r="I403" s="2">
        <v>2526.0</v>
      </c>
      <c r="J403" s="2">
        <f t="shared" si="1"/>
        <v>1.25</v>
      </c>
      <c r="K403" s="2">
        <f t="shared" si="2"/>
        <v>1.25</v>
      </c>
      <c r="L403" s="2">
        <f t="shared" si="3"/>
        <v>100</v>
      </c>
      <c r="M403" s="2">
        <f t="shared" si="4"/>
        <v>0.04950028286</v>
      </c>
    </row>
    <row r="404" ht="15.75" customHeight="1">
      <c r="A404" s="3">
        <v>44977.0</v>
      </c>
      <c r="B404" s="2" t="s">
        <v>20</v>
      </c>
      <c r="C404" s="2" t="s">
        <v>21</v>
      </c>
      <c r="D404" s="2" t="s">
        <v>16</v>
      </c>
      <c r="E404" s="2">
        <v>3114.0</v>
      </c>
      <c r="F404" s="2">
        <v>311.40000000000003</v>
      </c>
      <c r="G404" s="2">
        <v>367.452</v>
      </c>
      <c r="H404" s="2">
        <v>25.0</v>
      </c>
      <c r="I404" s="2">
        <v>1898.0</v>
      </c>
      <c r="J404" s="2">
        <f t="shared" si="1"/>
        <v>1.18</v>
      </c>
      <c r="K404" s="2">
        <f t="shared" si="2"/>
        <v>1.18</v>
      </c>
      <c r="L404" s="2">
        <f t="shared" si="3"/>
        <v>118</v>
      </c>
      <c r="M404" s="2">
        <f t="shared" si="4"/>
        <v>0.08028259473</v>
      </c>
    </row>
    <row r="405" ht="15.75" customHeight="1">
      <c r="A405" s="3">
        <v>44977.0</v>
      </c>
      <c r="B405" s="2" t="s">
        <v>20</v>
      </c>
      <c r="C405" s="2" t="s">
        <v>23</v>
      </c>
      <c r="D405" s="2" t="s">
        <v>13</v>
      </c>
      <c r="E405" s="2">
        <v>2531.0</v>
      </c>
      <c r="F405" s="2">
        <v>151.85999999999999</v>
      </c>
      <c r="G405" s="2">
        <v>83.523</v>
      </c>
      <c r="H405" s="2">
        <v>30.0</v>
      </c>
      <c r="I405" s="2">
        <v>2209.0</v>
      </c>
      <c r="J405" s="2">
        <f t="shared" si="1"/>
        <v>0.55</v>
      </c>
      <c r="K405" s="2">
        <f t="shared" si="2"/>
        <v>0.55</v>
      </c>
      <c r="L405" s="2">
        <f t="shared" si="3"/>
        <v>33</v>
      </c>
      <c r="M405" s="2">
        <f t="shared" si="4"/>
        <v>0.1975503753</v>
      </c>
    </row>
    <row r="406" ht="15.75" customHeight="1">
      <c r="A406" s="3">
        <v>44977.0</v>
      </c>
      <c r="B406" s="2" t="s">
        <v>26</v>
      </c>
      <c r="C406" s="2" t="s">
        <v>27</v>
      </c>
      <c r="D406" s="2" t="s">
        <v>19</v>
      </c>
      <c r="E406" s="2">
        <v>12093.0</v>
      </c>
      <c r="F406" s="2">
        <v>1088.37</v>
      </c>
      <c r="G406" s="2">
        <v>435.34799999999996</v>
      </c>
      <c r="H406" s="2">
        <v>87.0</v>
      </c>
      <c r="I406" s="2">
        <v>4694.0</v>
      </c>
      <c r="J406" s="2">
        <f t="shared" si="1"/>
        <v>0.4</v>
      </c>
      <c r="K406" s="2">
        <f t="shared" si="2"/>
        <v>0.4</v>
      </c>
      <c r="L406" s="2">
        <f t="shared" si="3"/>
        <v>36</v>
      </c>
      <c r="M406" s="2">
        <f t="shared" si="4"/>
        <v>0.07993605116</v>
      </c>
    </row>
    <row r="407" ht="15.75" customHeight="1">
      <c r="A407" s="3">
        <v>44977.0</v>
      </c>
      <c r="B407" s="2" t="s">
        <v>26</v>
      </c>
      <c r="C407" s="2" t="s">
        <v>31</v>
      </c>
      <c r="D407" s="2" t="s">
        <v>19</v>
      </c>
      <c r="E407" s="2">
        <v>11370.0</v>
      </c>
      <c r="F407" s="2">
        <v>909.6</v>
      </c>
      <c r="G407" s="2">
        <v>836.8320000000001</v>
      </c>
      <c r="H407" s="2">
        <v>82.0</v>
      </c>
      <c r="I407" s="2">
        <v>2077.0</v>
      </c>
      <c r="J407" s="2">
        <f t="shared" si="1"/>
        <v>0.92</v>
      </c>
      <c r="K407" s="2">
        <f t="shared" si="2"/>
        <v>0.92</v>
      </c>
      <c r="L407" s="2">
        <f t="shared" si="3"/>
        <v>73.6</v>
      </c>
      <c r="M407" s="2">
        <f t="shared" si="4"/>
        <v>0.09014951627</v>
      </c>
    </row>
    <row r="408" ht="15.75" customHeight="1">
      <c r="A408" s="3">
        <v>44977.0</v>
      </c>
      <c r="B408" s="2" t="s">
        <v>33</v>
      </c>
      <c r="C408" s="2" t="s">
        <v>34</v>
      </c>
      <c r="D408" s="2" t="s">
        <v>18</v>
      </c>
      <c r="E408" s="2">
        <v>5031.0</v>
      </c>
      <c r="F408" s="2">
        <v>452.78999999999996</v>
      </c>
      <c r="G408" s="2">
        <v>0.0</v>
      </c>
      <c r="H408" s="2">
        <v>91.0</v>
      </c>
      <c r="I408" s="2">
        <v>1791.0</v>
      </c>
      <c r="J408" s="2">
        <f t="shared" si="1"/>
        <v>0</v>
      </c>
      <c r="K408" s="2">
        <f t="shared" si="2"/>
        <v>0</v>
      </c>
      <c r="L408" s="2">
        <f t="shared" si="3"/>
        <v>0</v>
      </c>
      <c r="M408" s="2">
        <f t="shared" si="4"/>
        <v>0.20097617</v>
      </c>
    </row>
    <row r="409" ht="15.75" customHeight="1">
      <c r="A409" s="3">
        <v>44977.0</v>
      </c>
      <c r="B409" s="2" t="s">
        <v>33</v>
      </c>
      <c r="C409" s="2" t="s">
        <v>35</v>
      </c>
      <c r="D409" s="2" t="s">
        <v>22</v>
      </c>
      <c r="E409" s="2">
        <v>4413.0</v>
      </c>
      <c r="F409" s="2">
        <v>441.3</v>
      </c>
      <c r="G409" s="2">
        <v>0.0</v>
      </c>
      <c r="H409" s="2">
        <v>79.0</v>
      </c>
      <c r="I409" s="2">
        <v>969.0</v>
      </c>
      <c r="J409" s="2">
        <f t="shared" si="1"/>
        <v>0</v>
      </c>
      <c r="K409" s="2">
        <f t="shared" si="2"/>
        <v>0</v>
      </c>
      <c r="L409" s="2">
        <f t="shared" si="3"/>
        <v>0</v>
      </c>
      <c r="M409" s="2">
        <f t="shared" si="4"/>
        <v>0.179016542</v>
      </c>
    </row>
    <row r="410" ht="15.75" customHeight="1">
      <c r="A410" s="3">
        <v>44978.0</v>
      </c>
      <c r="B410" s="2" t="s">
        <v>14</v>
      </c>
      <c r="C410" s="2" t="s">
        <v>15</v>
      </c>
      <c r="D410" s="2" t="s">
        <v>18</v>
      </c>
      <c r="E410" s="2">
        <v>10625.0</v>
      </c>
      <c r="F410" s="2">
        <v>850.0</v>
      </c>
      <c r="G410" s="2">
        <v>518.5</v>
      </c>
      <c r="H410" s="2">
        <v>111.0</v>
      </c>
      <c r="I410" s="2">
        <v>3090.0</v>
      </c>
      <c r="J410" s="2">
        <f t="shared" si="1"/>
        <v>0.61</v>
      </c>
      <c r="K410" s="2">
        <f t="shared" si="2"/>
        <v>0.61</v>
      </c>
      <c r="L410" s="2">
        <f t="shared" si="3"/>
        <v>48.8</v>
      </c>
      <c r="M410" s="2">
        <f t="shared" si="4"/>
        <v>0.1305882353</v>
      </c>
    </row>
    <row r="411" ht="15.75" customHeight="1">
      <c r="A411" s="3">
        <v>44978.0</v>
      </c>
      <c r="B411" s="2" t="s">
        <v>14</v>
      </c>
      <c r="C411" s="2" t="s">
        <v>17</v>
      </c>
      <c r="D411" s="2" t="s">
        <v>25</v>
      </c>
      <c r="E411" s="2">
        <v>10213.0</v>
      </c>
      <c r="F411" s="2">
        <v>612.78</v>
      </c>
      <c r="G411" s="2">
        <v>330.9012</v>
      </c>
      <c r="H411" s="2">
        <v>98.0</v>
      </c>
      <c r="I411" s="2">
        <v>4470.0</v>
      </c>
      <c r="J411" s="2">
        <f t="shared" si="1"/>
        <v>0.54</v>
      </c>
      <c r="K411" s="2">
        <f t="shared" si="2"/>
        <v>0.54</v>
      </c>
      <c r="L411" s="2">
        <f t="shared" si="3"/>
        <v>32.4</v>
      </c>
      <c r="M411" s="2">
        <f t="shared" si="4"/>
        <v>0.1599268906</v>
      </c>
    </row>
    <row r="412" ht="15.75" customHeight="1">
      <c r="A412" s="3">
        <v>44978.0</v>
      </c>
      <c r="B412" s="2" t="s">
        <v>20</v>
      </c>
      <c r="C412" s="2" t="s">
        <v>21</v>
      </c>
      <c r="D412" s="2" t="s">
        <v>16</v>
      </c>
      <c r="E412" s="2">
        <v>5083.0</v>
      </c>
      <c r="F412" s="2">
        <v>508.3</v>
      </c>
      <c r="G412" s="2">
        <v>721.786</v>
      </c>
      <c r="H412" s="2">
        <v>51.0</v>
      </c>
      <c r="I412" s="2">
        <v>1626.0</v>
      </c>
      <c r="J412" s="2">
        <f t="shared" si="1"/>
        <v>1.42</v>
      </c>
      <c r="K412" s="2">
        <f t="shared" si="2"/>
        <v>1.42</v>
      </c>
      <c r="L412" s="2">
        <f t="shared" si="3"/>
        <v>142</v>
      </c>
      <c r="M412" s="2">
        <f t="shared" si="4"/>
        <v>0.1003344482</v>
      </c>
    </row>
    <row r="413" ht="15.75" customHeight="1">
      <c r="A413" s="3">
        <v>44978.0</v>
      </c>
      <c r="B413" s="2" t="s">
        <v>20</v>
      </c>
      <c r="C413" s="2" t="s">
        <v>23</v>
      </c>
      <c r="D413" s="2" t="s">
        <v>24</v>
      </c>
      <c r="E413" s="2">
        <v>3119.0</v>
      </c>
      <c r="F413" s="2">
        <v>249.52</v>
      </c>
      <c r="G413" s="2">
        <v>484.0688</v>
      </c>
      <c r="H413" s="2">
        <v>45.0</v>
      </c>
      <c r="I413" s="2">
        <v>682.0</v>
      </c>
      <c r="J413" s="2">
        <f t="shared" si="1"/>
        <v>1.94</v>
      </c>
      <c r="K413" s="2">
        <f t="shared" si="2"/>
        <v>1.94</v>
      </c>
      <c r="L413" s="2">
        <f t="shared" si="3"/>
        <v>155.2</v>
      </c>
      <c r="M413" s="2">
        <f t="shared" si="4"/>
        <v>0.1803462648</v>
      </c>
    </row>
    <row r="414" ht="15.75" customHeight="1">
      <c r="A414" s="3">
        <v>44978.0</v>
      </c>
      <c r="B414" s="2" t="s">
        <v>26</v>
      </c>
      <c r="C414" s="2" t="s">
        <v>27</v>
      </c>
      <c r="D414" s="2" t="s">
        <v>25</v>
      </c>
      <c r="E414" s="2">
        <v>8749.0</v>
      </c>
      <c r="F414" s="2">
        <v>349.96</v>
      </c>
      <c r="G414" s="2">
        <v>419.95199999999994</v>
      </c>
      <c r="H414" s="2">
        <v>31.0</v>
      </c>
      <c r="I414" s="2">
        <v>4037.0</v>
      </c>
      <c r="J414" s="2">
        <f t="shared" si="1"/>
        <v>1.2</v>
      </c>
      <c r="K414" s="2">
        <f t="shared" si="2"/>
        <v>1.2</v>
      </c>
      <c r="L414" s="2">
        <f t="shared" si="3"/>
        <v>48</v>
      </c>
      <c r="M414" s="2">
        <f t="shared" si="4"/>
        <v>0.08858155218</v>
      </c>
    </row>
    <row r="415" ht="15.75" customHeight="1">
      <c r="A415" s="3">
        <v>44978.0</v>
      </c>
      <c r="B415" s="2" t="s">
        <v>26</v>
      </c>
      <c r="C415" s="2" t="s">
        <v>31</v>
      </c>
      <c r="D415" s="2" t="s">
        <v>24</v>
      </c>
      <c r="E415" s="2">
        <v>14299.0</v>
      </c>
      <c r="F415" s="2">
        <v>1143.92</v>
      </c>
      <c r="G415" s="2">
        <v>2287.84</v>
      </c>
      <c r="H415" s="2">
        <v>57.0</v>
      </c>
      <c r="I415" s="2">
        <v>1898.0</v>
      </c>
      <c r="J415" s="2">
        <f t="shared" si="1"/>
        <v>2</v>
      </c>
      <c r="K415" s="2">
        <f t="shared" si="2"/>
        <v>2</v>
      </c>
      <c r="L415" s="2">
        <f t="shared" si="3"/>
        <v>160</v>
      </c>
      <c r="M415" s="2">
        <f t="shared" si="4"/>
        <v>0.04982865935</v>
      </c>
    </row>
    <row r="416" ht="15.75" customHeight="1">
      <c r="A416" s="3">
        <v>44978.0</v>
      </c>
      <c r="B416" s="2" t="s">
        <v>33</v>
      </c>
      <c r="C416" s="2" t="s">
        <v>34</v>
      </c>
      <c r="D416" s="2" t="s">
        <v>16</v>
      </c>
      <c r="E416" s="2">
        <v>5759.0</v>
      </c>
      <c r="F416" s="2">
        <v>230.36</v>
      </c>
      <c r="G416" s="2">
        <v>0.0</v>
      </c>
      <c r="H416" s="2">
        <v>39.0</v>
      </c>
      <c r="I416" s="2">
        <v>101.0</v>
      </c>
      <c r="J416" s="2">
        <f t="shared" si="1"/>
        <v>0</v>
      </c>
      <c r="K416" s="2">
        <f t="shared" si="2"/>
        <v>0</v>
      </c>
      <c r="L416" s="2">
        <f t="shared" si="3"/>
        <v>0</v>
      </c>
      <c r="M416" s="2">
        <f t="shared" si="4"/>
        <v>0.1693002257</v>
      </c>
    </row>
    <row r="417" ht="15.75" customHeight="1">
      <c r="A417" s="3">
        <v>44978.0</v>
      </c>
      <c r="B417" s="2" t="s">
        <v>33</v>
      </c>
      <c r="C417" s="2" t="s">
        <v>35</v>
      </c>
      <c r="D417" s="2" t="s">
        <v>28</v>
      </c>
      <c r="E417" s="2">
        <v>4239.0</v>
      </c>
      <c r="F417" s="2">
        <v>381.51</v>
      </c>
      <c r="G417" s="2">
        <v>0.0</v>
      </c>
      <c r="H417" s="2">
        <v>57.0</v>
      </c>
      <c r="I417" s="2">
        <v>2297.0</v>
      </c>
      <c r="J417" s="2">
        <f t="shared" si="1"/>
        <v>0</v>
      </c>
      <c r="K417" s="2">
        <f t="shared" si="2"/>
        <v>0</v>
      </c>
      <c r="L417" s="2">
        <f t="shared" si="3"/>
        <v>0</v>
      </c>
      <c r="M417" s="2">
        <f t="shared" si="4"/>
        <v>0.1494063065</v>
      </c>
    </row>
    <row r="418" ht="15.75" customHeight="1">
      <c r="A418" s="3">
        <v>44979.0</v>
      </c>
      <c r="B418" s="2" t="s">
        <v>14</v>
      </c>
      <c r="C418" s="2" t="s">
        <v>15</v>
      </c>
      <c r="D418" s="2" t="s">
        <v>25</v>
      </c>
      <c r="E418" s="2">
        <v>8369.0</v>
      </c>
      <c r="F418" s="2">
        <v>585.83</v>
      </c>
      <c r="G418" s="2">
        <v>550.6802</v>
      </c>
      <c r="H418" s="2">
        <v>29.0</v>
      </c>
      <c r="I418" s="2">
        <v>1734.0</v>
      </c>
      <c r="J418" s="2">
        <f t="shared" si="1"/>
        <v>0.94</v>
      </c>
      <c r="K418" s="2">
        <f t="shared" si="2"/>
        <v>0.94</v>
      </c>
      <c r="L418" s="2">
        <f t="shared" si="3"/>
        <v>65.8</v>
      </c>
      <c r="M418" s="2">
        <f t="shared" si="4"/>
        <v>0.04950241538</v>
      </c>
    </row>
    <row r="419" ht="15.75" customHeight="1">
      <c r="A419" s="3">
        <v>44979.0</v>
      </c>
      <c r="B419" s="2" t="s">
        <v>14</v>
      </c>
      <c r="C419" s="2" t="s">
        <v>17</v>
      </c>
      <c r="D419" s="2" t="s">
        <v>24</v>
      </c>
      <c r="E419" s="2">
        <v>6970.0</v>
      </c>
      <c r="F419" s="2">
        <v>697.0</v>
      </c>
      <c r="G419" s="2">
        <v>1010.65</v>
      </c>
      <c r="H419" s="2">
        <v>139.0</v>
      </c>
      <c r="I419" s="2">
        <v>576.0</v>
      </c>
      <c r="J419" s="2">
        <f t="shared" si="1"/>
        <v>1.45</v>
      </c>
      <c r="K419" s="2">
        <f t="shared" si="2"/>
        <v>1.45</v>
      </c>
      <c r="L419" s="2">
        <f t="shared" si="3"/>
        <v>145</v>
      </c>
      <c r="M419" s="2">
        <f t="shared" si="4"/>
        <v>0.1994261119</v>
      </c>
    </row>
    <row r="420" ht="15.75" customHeight="1">
      <c r="A420" s="3">
        <v>44979.0</v>
      </c>
      <c r="B420" s="2" t="s">
        <v>20</v>
      </c>
      <c r="C420" s="2" t="s">
        <v>21</v>
      </c>
      <c r="D420" s="2" t="s">
        <v>32</v>
      </c>
      <c r="E420" s="2">
        <v>4130.0</v>
      </c>
      <c r="F420" s="2">
        <v>289.1</v>
      </c>
      <c r="G420" s="2">
        <v>450.99600000000004</v>
      </c>
      <c r="H420" s="2">
        <v>29.0</v>
      </c>
      <c r="I420" s="2">
        <v>2935.0</v>
      </c>
      <c r="J420" s="2">
        <f t="shared" si="1"/>
        <v>1.56</v>
      </c>
      <c r="K420" s="2">
        <f t="shared" si="2"/>
        <v>1.56</v>
      </c>
      <c r="L420" s="2">
        <f t="shared" si="3"/>
        <v>109.2</v>
      </c>
      <c r="M420" s="2">
        <f t="shared" si="4"/>
        <v>0.100311311</v>
      </c>
    </row>
    <row r="421" ht="15.75" customHeight="1">
      <c r="A421" s="3">
        <v>44979.0</v>
      </c>
      <c r="B421" s="2" t="s">
        <v>20</v>
      </c>
      <c r="C421" s="2" t="s">
        <v>23</v>
      </c>
      <c r="D421" s="2" t="s">
        <v>24</v>
      </c>
      <c r="E421" s="2">
        <v>3700.0</v>
      </c>
      <c r="F421" s="2">
        <v>185.0</v>
      </c>
      <c r="G421" s="2">
        <v>61.050000000000004</v>
      </c>
      <c r="H421" s="2">
        <v>22.0</v>
      </c>
      <c r="I421" s="2">
        <v>646.0</v>
      </c>
      <c r="J421" s="2">
        <f t="shared" si="1"/>
        <v>0.33</v>
      </c>
      <c r="K421" s="2">
        <f t="shared" si="2"/>
        <v>0.33</v>
      </c>
      <c r="L421" s="2">
        <f t="shared" si="3"/>
        <v>16.5</v>
      </c>
      <c r="M421" s="2">
        <f t="shared" si="4"/>
        <v>0.1189189189</v>
      </c>
    </row>
    <row r="422" ht="15.75" customHeight="1">
      <c r="A422" s="3">
        <v>44979.0</v>
      </c>
      <c r="B422" s="2" t="s">
        <v>26</v>
      </c>
      <c r="C422" s="2" t="s">
        <v>27</v>
      </c>
      <c r="D422" s="2" t="s">
        <v>19</v>
      </c>
      <c r="E422" s="2">
        <v>8455.0</v>
      </c>
      <c r="F422" s="2">
        <v>676.4</v>
      </c>
      <c r="G422" s="2">
        <v>338.2</v>
      </c>
      <c r="H422" s="2">
        <v>88.0</v>
      </c>
      <c r="I422" s="2">
        <v>3895.0</v>
      </c>
      <c r="J422" s="2">
        <f t="shared" si="1"/>
        <v>0.5</v>
      </c>
      <c r="K422" s="2">
        <f t="shared" si="2"/>
        <v>0.5</v>
      </c>
      <c r="L422" s="2">
        <f t="shared" si="3"/>
        <v>40</v>
      </c>
      <c r="M422" s="2">
        <f t="shared" si="4"/>
        <v>0.1301005322</v>
      </c>
    </row>
    <row r="423" ht="15.75" customHeight="1">
      <c r="A423" s="3">
        <v>44979.0</v>
      </c>
      <c r="B423" s="2" t="s">
        <v>26</v>
      </c>
      <c r="C423" s="2" t="s">
        <v>31</v>
      </c>
      <c r="D423" s="2" t="s">
        <v>25</v>
      </c>
      <c r="E423" s="2">
        <v>12478.0</v>
      </c>
      <c r="F423" s="2">
        <v>998.24</v>
      </c>
      <c r="G423" s="2">
        <v>1317.6768000000002</v>
      </c>
      <c r="H423" s="2">
        <v>120.0</v>
      </c>
      <c r="I423" s="2">
        <v>540.0</v>
      </c>
      <c r="J423" s="2">
        <f t="shared" si="1"/>
        <v>1.32</v>
      </c>
      <c r="K423" s="2">
        <f t="shared" si="2"/>
        <v>1.32</v>
      </c>
      <c r="L423" s="2">
        <f t="shared" si="3"/>
        <v>105.6</v>
      </c>
      <c r="M423" s="2">
        <f t="shared" si="4"/>
        <v>0.1202115724</v>
      </c>
    </row>
    <row r="424" ht="15.75" customHeight="1">
      <c r="A424" s="3">
        <v>44979.0</v>
      </c>
      <c r="B424" s="2" t="s">
        <v>33</v>
      </c>
      <c r="C424" s="2" t="s">
        <v>34</v>
      </c>
      <c r="D424" s="2" t="s">
        <v>30</v>
      </c>
      <c r="E424" s="2">
        <v>2532.0</v>
      </c>
      <c r="F424" s="2">
        <v>202.56</v>
      </c>
      <c r="G424" s="2">
        <v>0.0</v>
      </c>
      <c r="H424" s="2">
        <v>30.0</v>
      </c>
      <c r="I424" s="2">
        <v>3214.0</v>
      </c>
      <c r="J424" s="2">
        <f t="shared" si="1"/>
        <v>0</v>
      </c>
      <c r="K424" s="2">
        <f t="shared" si="2"/>
        <v>0</v>
      </c>
      <c r="L424" s="2">
        <f t="shared" si="3"/>
        <v>0</v>
      </c>
      <c r="M424" s="2">
        <f t="shared" si="4"/>
        <v>0.1481042654</v>
      </c>
    </row>
    <row r="425" ht="15.75" customHeight="1">
      <c r="A425" s="3">
        <v>44979.0</v>
      </c>
      <c r="B425" s="2" t="s">
        <v>33</v>
      </c>
      <c r="C425" s="2" t="s">
        <v>35</v>
      </c>
      <c r="D425" s="2" t="s">
        <v>25</v>
      </c>
      <c r="E425" s="2">
        <v>3665.0</v>
      </c>
      <c r="F425" s="2">
        <v>219.9</v>
      </c>
      <c r="G425" s="2">
        <v>0.0</v>
      </c>
      <c r="H425" s="2">
        <v>13.0</v>
      </c>
      <c r="I425" s="2">
        <v>153.0</v>
      </c>
      <c r="J425" s="2">
        <f t="shared" si="1"/>
        <v>0</v>
      </c>
      <c r="K425" s="2">
        <f t="shared" si="2"/>
        <v>0</v>
      </c>
      <c r="L425" s="2">
        <f t="shared" si="3"/>
        <v>0</v>
      </c>
      <c r="M425" s="2">
        <f t="shared" si="4"/>
        <v>0.05911778081</v>
      </c>
    </row>
    <row r="426" ht="15.75" customHeight="1">
      <c r="A426" s="3">
        <v>44980.0</v>
      </c>
      <c r="B426" s="2" t="s">
        <v>14</v>
      </c>
      <c r="C426" s="2" t="s">
        <v>15</v>
      </c>
      <c r="D426" s="2" t="s">
        <v>16</v>
      </c>
      <c r="E426" s="2">
        <v>5160.0</v>
      </c>
      <c r="F426" s="2">
        <v>309.59999999999997</v>
      </c>
      <c r="G426" s="2">
        <v>473.68799999999993</v>
      </c>
      <c r="H426" s="2">
        <v>28.0</v>
      </c>
      <c r="I426" s="2">
        <v>4681.0</v>
      </c>
      <c r="J426" s="2">
        <f t="shared" si="1"/>
        <v>1.53</v>
      </c>
      <c r="K426" s="2">
        <f t="shared" si="2"/>
        <v>1.53</v>
      </c>
      <c r="L426" s="2">
        <f t="shared" si="3"/>
        <v>91.8</v>
      </c>
      <c r="M426" s="2">
        <f t="shared" si="4"/>
        <v>0.09043927649</v>
      </c>
    </row>
    <row r="427" ht="15.75" customHeight="1">
      <c r="A427" s="3">
        <v>44980.0</v>
      </c>
      <c r="B427" s="2" t="s">
        <v>14</v>
      </c>
      <c r="C427" s="2" t="s">
        <v>17</v>
      </c>
      <c r="D427" s="2" t="s">
        <v>22</v>
      </c>
      <c r="E427" s="2">
        <v>8931.0</v>
      </c>
      <c r="F427" s="2">
        <v>714.48</v>
      </c>
      <c r="G427" s="2">
        <v>714.48</v>
      </c>
      <c r="H427" s="2">
        <v>57.0</v>
      </c>
      <c r="I427" s="2">
        <v>3119.0</v>
      </c>
      <c r="J427" s="2">
        <f t="shared" si="1"/>
        <v>1</v>
      </c>
      <c r="K427" s="2">
        <f t="shared" si="2"/>
        <v>1</v>
      </c>
      <c r="L427" s="2">
        <f t="shared" si="3"/>
        <v>80</v>
      </c>
      <c r="M427" s="2">
        <f t="shared" si="4"/>
        <v>0.0797783003</v>
      </c>
    </row>
    <row r="428" ht="15.75" customHeight="1">
      <c r="A428" s="3">
        <v>44980.0</v>
      </c>
      <c r="B428" s="2" t="s">
        <v>20</v>
      </c>
      <c r="C428" s="2" t="s">
        <v>21</v>
      </c>
      <c r="D428" s="2" t="s">
        <v>18</v>
      </c>
      <c r="E428" s="2">
        <v>3271.0</v>
      </c>
      <c r="F428" s="2">
        <v>98.13</v>
      </c>
      <c r="G428" s="2">
        <v>40.23329999999999</v>
      </c>
      <c r="H428" s="2">
        <v>16.0</v>
      </c>
      <c r="I428" s="2">
        <v>4576.0</v>
      </c>
      <c r="J428" s="2">
        <f t="shared" si="1"/>
        <v>0.41</v>
      </c>
      <c r="K428" s="2">
        <f t="shared" si="2"/>
        <v>0.41</v>
      </c>
      <c r="L428" s="2">
        <f t="shared" si="3"/>
        <v>12.3</v>
      </c>
      <c r="M428" s="2">
        <f t="shared" si="4"/>
        <v>0.1630490166</v>
      </c>
    </row>
    <row r="429" ht="15.75" customHeight="1">
      <c r="A429" s="3">
        <v>44980.0</v>
      </c>
      <c r="B429" s="2" t="s">
        <v>20</v>
      </c>
      <c r="C429" s="2" t="s">
        <v>23</v>
      </c>
      <c r="D429" s="2" t="s">
        <v>25</v>
      </c>
      <c r="E429" s="2">
        <v>2770.0</v>
      </c>
      <c r="F429" s="2">
        <v>166.2</v>
      </c>
      <c r="G429" s="2">
        <v>149.57999999999998</v>
      </c>
      <c r="H429" s="2">
        <v>32.0</v>
      </c>
      <c r="I429" s="2">
        <v>2906.0</v>
      </c>
      <c r="J429" s="2">
        <f t="shared" si="1"/>
        <v>0.9</v>
      </c>
      <c r="K429" s="2">
        <f t="shared" si="2"/>
        <v>0.9</v>
      </c>
      <c r="L429" s="2">
        <f t="shared" si="3"/>
        <v>54</v>
      </c>
      <c r="M429" s="2">
        <f t="shared" si="4"/>
        <v>0.1925391095</v>
      </c>
    </row>
    <row r="430" ht="15.75" customHeight="1">
      <c r="A430" s="3">
        <v>44980.0</v>
      </c>
      <c r="B430" s="2" t="s">
        <v>26</v>
      </c>
      <c r="C430" s="2" t="s">
        <v>27</v>
      </c>
      <c r="D430" s="2" t="s">
        <v>24</v>
      </c>
      <c r="E430" s="2">
        <v>11374.0</v>
      </c>
      <c r="F430" s="2">
        <v>682.4399999999999</v>
      </c>
      <c r="G430" s="2">
        <v>730.2108</v>
      </c>
      <c r="H430" s="2">
        <v>75.0</v>
      </c>
      <c r="I430" s="2">
        <v>1124.0</v>
      </c>
      <c r="J430" s="2">
        <f t="shared" si="1"/>
        <v>1.07</v>
      </c>
      <c r="K430" s="2">
        <f t="shared" si="2"/>
        <v>1.07</v>
      </c>
      <c r="L430" s="2">
        <f t="shared" si="3"/>
        <v>64.2</v>
      </c>
      <c r="M430" s="2">
        <f t="shared" si="4"/>
        <v>0.1098997714</v>
      </c>
    </row>
    <row r="431" ht="15.75" customHeight="1">
      <c r="A431" s="3">
        <v>44980.0</v>
      </c>
      <c r="B431" s="2" t="s">
        <v>26</v>
      </c>
      <c r="C431" s="2" t="s">
        <v>31</v>
      </c>
      <c r="D431" s="2" t="s">
        <v>19</v>
      </c>
      <c r="E431" s="2">
        <v>9894.0</v>
      </c>
      <c r="F431" s="2">
        <v>989.4000000000001</v>
      </c>
      <c r="G431" s="2">
        <v>306.714</v>
      </c>
      <c r="H431" s="2">
        <v>198.0</v>
      </c>
      <c r="I431" s="2">
        <v>3674.0</v>
      </c>
      <c r="J431" s="2">
        <f t="shared" si="1"/>
        <v>0.31</v>
      </c>
      <c r="K431" s="2">
        <f t="shared" si="2"/>
        <v>0.31</v>
      </c>
      <c r="L431" s="2">
        <f t="shared" si="3"/>
        <v>31</v>
      </c>
      <c r="M431" s="2">
        <f t="shared" si="4"/>
        <v>0.2001212856</v>
      </c>
    </row>
    <row r="432" ht="15.75" customHeight="1">
      <c r="A432" s="3">
        <v>44980.0</v>
      </c>
      <c r="B432" s="2" t="s">
        <v>33</v>
      </c>
      <c r="C432" s="2" t="s">
        <v>34</v>
      </c>
      <c r="D432" s="2" t="s">
        <v>25</v>
      </c>
      <c r="E432" s="2">
        <v>2933.0</v>
      </c>
      <c r="F432" s="2">
        <v>87.99</v>
      </c>
      <c r="G432" s="2">
        <v>0.0</v>
      </c>
      <c r="H432" s="2">
        <v>14.0</v>
      </c>
      <c r="I432" s="2">
        <v>4843.0</v>
      </c>
      <c r="J432" s="2">
        <f t="shared" si="1"/>
        <v>0</v>
      </c>
      <c r="K432" s="2">
        <f t="shared" si="2"/>
        <v>0</v>
      </c>
      <c r="L432" s="2">
        <f t="shared" si="3"/>
        <v>0</v>
      </c>
      <c r="M432" s="2">
        <f t="shared" si="4"/>
        <v>0.1591089897</v>
      </c>
    </row>
    <row r="433" ht="15.75" customHeight="1">
      <c r="A433" s="3">
        <v>44980.0</v>
      </c>
      <c r="B433" s="2" t="s">
        <v>33</v>
      </c>
      <c r="C433" s="2" t="s">
        <v>35</v>
      </c>
      <c r="D433" s="2" t="s">
        <v>18</v>
      </c>
      <c r="E433" s="2">
        <v>4954.0</v>
      </c>
      <c r="F433" s="2">
        <v>99.08</v>
      </c>
      <c r="G433" s="2">
        <v>0.0</v>
      </c>
      <c r="H433" s="2">
        <v>18.0</v>
      </c>
      <c r="I433" s="2">
        <v>504.0</v>
      </c>
      <c r="J433" s="2">
        <f t="shared" si="1"/>
        <v>0</v>
      </c>
      <c r="K433" s="2">
        <f t="shared" si="2"/>
        <v>0</v>
      </c>
      <c r="L433" s="2">
        <f t="shared" si="3"/>
        <v>0</v>
      </c>
      <c r="M433" s="2">
        <f t="shared" si="4"/>
        <v>0.1816713767</v>
      </c>
    </row>
    <row r="434" ht="15.75" customHeight="1">
      <c r="A434" s="3">
        <v>44980.0</v>
      </c>
      <c r="B434" s="2" t="s">
        <v>14</v>
      </c>
      <c r="C434" s="2" t="s">
        <v>15</v>
      </c>
      <c r="D434" s="2" t="s">
        <v>13</v>
      </c>
      <c r="E434" s="2">
        <v>7525.0</v>
      </c>
      <c r="F434" s="2">
        <v>526.75</v>
      </c>
      <c r="G434" s="2">
        <v>1027.1625</v>
      </c>
      <c r="H434" s="2">
        <v>79.0</v>
      </c>
      <c r="I434" s="2">
        <v>2029.0</v>
      </c>
      <c r="J434" s="2">
        <f t="shared" si="1"/>
        <v>1.95</v>
      </c>
      <c r="K434" s="2">
        <f t="shared" si="2"/>
        <v>1.95</v>
      </c>
      <c r="L434" s="2">
        <f t="shared" si="3"/>
        <v>136.5</v>
      </c>
      <c r="M434" s="2">
        <f t="shared" si="4"/>
        <v>0.1499762696</v>
      </c>
    </row>
    <row r="435" ht="15.75" customHeight="1">
      <c r="A435" s="3">
        <v>44980.0</v>
      </c>
      <c r="B435" s="2" t="s">
        <v>14</v>
      </c>
      <c r="C435" s="2" t="s">
        <v>17</v>
      </c>
      <c r="D435" s="2" t="s">
        <v>13</v>
      </c>
      <c r="E435" s="2">
        <v>5391.0</v>
      </c>
      <c r="F435" s="2">
        <v>377.37000000000006</v>
      </c>
      <c r="G435" s="2">
        <v>184.91130000000004</v>
      </c>
      <c r="H435" s="2">
        <v>68.0</v>
      </c>
      <c r="I435" s="2">
        <v>1179.0</v>
      </c>
      <c r="J435" s="2">
        <f t="shared" si="1"/>
        <v>0.49</v>
      </c>
      <c r="K435" s="2">
        <f t="shared" si="2"/>
        <v>0.49</v>
      </c>
      <c r="L435" s="2">
        <f t="shared" si="3"/>
        <v>34.3</v>
      </c>
      <c r="M435" s="2">
        <f t="shared" si="4"/>
        <v>0.1801945041</v>
      </c>
    </row>
    <row r="436" ht="15.75" customHeight="1">
      <c r="A436" s="3">
        <v>44980.0</v>
      </c>
      <c r="B436" s="2" t="s">
        <v>20</v>
      </c>
      <c r="C436" s="2" t="s">
        <v>21</v>
      </c>
      <c r="D436" s="2" t="s">
        <v>28</v>
      </c>
      <c r="E436" s="2">
        <v>3806.0</v>
      </c>
      <c r="F436" s="2">
        <v>228.35999999999999</v>
      </c>
      <c r="G436" s="2">
        <v>77.6424</v>
      </c>
      <c r="H436" s="2">
        <v>21.0</v>
      </c>
      <c r="I436" s="2">
        <v>1082.0</v>
      </c>
      <c r="J436" s="2">
        <f t="shared" si="1"/>
        <v>0.34</v>
      </c>
      <c r="K436" s="2">
        <f t="shared" si="2"/>
        <v>0.34</v>
      </c>
      <c r="L436" s="2">
        <f t="shared" si="3"/>
        <v>20.4</v>
      </c>
      <c r="M436" s="2">
        <f t="shared" si="4"/>
        <v>0.09196006306</v>
      </c>
    </row>
    <row r="437" ht="15.75" customHeight="1">
      <c r="A437" s="3">
        <v>44980.0</v>
      </c>
      <c r="B437" s="2" t="s">
        <v>20</v>
      </c>
      <c r="C437" s="2" t="s">
        <v>23</v>
      </c>
      <c r="D437" s="2" t="s">
        <v>24</v>
      </c>
      <c r="E437" s="2">
        <v>4229.0</v>
      </c>
      <c r="F437" s="2">
        <v>338.32</v>
      </c>
      <c r="G437" s="2">
        <v>575.144</v>
      </c>
      <c r="H437" s="2">
        <v>24.0</v>
      </c>
      <c r="I437" s="2">
        <v>938.0</v>
      </c>
      <c r="J437" s="2">
        <f t="shared" si="1"/>
        <v>1.7</v>
      </c>
      <c r="K437" s="2">
        <f t="shared" si="2"/>
        <v>1.7</v>
      </c>
      <c r="L437" s="2">
        <f t="shared" si="3"/>
        <v>136</v>
      </c>
      <c r="M437" s="2">
        <f t="shared" si="4"/>
        <v>0.07093875621</v>
      </c>
    </row>
    <row r="438" ht="15.75" customHeight="1">
      <c r="A438" s="3">
        <v>44980.0</v>
      </c>
      <c r="B438" s="2" t="s">
        <v>26</v>
      </c>
      <c r="C438" s="2" t="s">
        <v>27</v>
      </c>
      <c r="D438" s="2" t="s">
        <v>30</v>
      </c>
      <c r="E438" s="2">
        <v>14857.0</v>
      </c>
      <c r="F438" s="2">
        <v>1337.1299999999999</v>
      </c>
      <c r="G438" s="2">
        <v>548.2232999999999</v>
      </c>
      <c r="H438" s="2">
        <v>107.0</v>
      </c>
      <c r="I438" s="2">
        <v>3916.0</v>
      </c>
      <c r="J438" s="2">
        <f t="shared" si="1"/>
        <v>0.41</v>
      </c>
      <c r="K438" s="2">
        <f t="shared" si="2"/>
        <v>0.41</v>
      </c>
      <c r="L438" s="2">
        <f t="shared" si="3"/>
        <v>36.9</v>
      </c>
      <c r="M438" s="2">
        <f t="shared" si="4"/>
        <v>0.08002213696</v>
      </c>
    </row>
    <row r="439" ht="15.75" customHeight="1">
      <c r="A439" s="3">
        <v>44980.0</v>
      </c>
      <c r="B439" s="2" t="s">
        <v>26</v>
      </c>
      <c r="C439" s="2" t="s">
        <v>31</v>
      </c>
      <c r="D439" s="2" t="s">
        <v>16</v>
      </c>
      <c r="E439" s="2">
        <v>13975.0</v>
      </c>
      <c r="F439" s="2">
        <v>698.75</v>
      </c>
      <c r="G439" s="2">
        <v>789.5875</v>
      </c>
      <c r="H439" s="2">
        <v>126.0</v>
      </c>
      <c r="I439" s="2">
        <v>339.0</v>
      </c>
      <c r="J439" s="2">
        <f t="shared" si="1"/>
        <v>1.13</v>
      </c>
      <c r="K439" s="2">
        <f t="shared" si="2"/>
        <v>1.13</v>
      </c>
      <c r="L439" s="2">
        <f t="shared" si="3"/>
        <v>56.5</v>
      </c>
      <c r="M439" s="2">
        <f t="shared" si="4"/>
        <v>0.1803220036</v>
      </c>
    </row>
    <row r="440" ht="15.75" customHeight="1">
      <c r="A440" s="3">
        <v>44980.0</v>
      </c>
      <c r="B440" s="2" t="s">
        <v>33</v>
      </c>
      <c r="C440" s="2" t="s">
        <v>34</v>
      </c>
      <c r="D440" s="2" t="s">
        <v>16</v>
      </c>
      <c r="E440" s="2">
        <v>3025.0</v>
      </c>
      <c r="F440" s="2">
        <v>302.5</v>
      </c>
      <c r="G440" s="2">
        <v>0.0</v>
      </c>
      <c r="H440" s="2">
        <v>24.0</v>
      </c>
      <c r="I440" s="2">
        <v>1874.0</v>
      </c>
      <c r="J440" s="2">
        <f t="shared" si="1"/>
        <v>0</v>
      </c>
      <c r="K440" s="2">
        <f t="shared" si="2"/>
        <v>0</v>
      </c>
      <c r="L440" s="2">
        <f t="shared" si="3"/>
        <v>0</v>
      </c>
      <c r="M440" s="2">
        <f t="shared" si="4"/>
        <v>0.07933884298</v>
      </c>
    </row>
    <row r="441" ht="15.75" customHeight="1">
      <c r="A441" s="3">
        <v>44980.0</v>
      </c>
      <c r="B441" s="2" t="s">
        <v>33</v>
      </c>
      <c r="C441" s="2" t="s">
        <v>35</v>
      </c>
      <c r="D441" s="2" t="s">
        <v>16</v>
      </c>
      <c r="E441" s="2">
        <v>2953.0</v>
      </c>
      <c r="F441" s="2">
        <v>147.65</v>
      </c>
      <c r="G441" s="2">
        <v>0.0</v>
      </c>
      <c r="H441" s="2">
        <v>28.0</v>
      </c>
      <c r="I441" s="2">
        <v>1109.0</v>
      </c>
      <c r="J441" s="2">
        <f t="shared" si="1"/>
        <v>0</v>
      </c>
      <c r="K441" s="2">
        <f t="shared" si="2"/>
        <v>0</v>
      </c>
      <c r="L441" s="2">
        <f t="shared" si="3"/>
        <v>0</v>
      </c>
      <c r="M441" s="2">
        <f t="shared" si="4"/>
        <v>0.1896376566</v>
      </c>
    </row>
    <row r="442" ht="15.75" customHeight="1">
      <c r="A442" s="3">
        <v>44981.0</v>
      </c>
      <c r="B442" s="2" t="s">
        <v>14</v>
      </c>
      <c r="C442" s="2" t="s">
        <v>15</v>
      </c>
      <c r="D442" s="2" t="s">
        <v>24</v>
      </c>
      <c r="E442" s="2">
        <v>8217.0</v>
      </c>
      <c r="F442" s="2">
        <v>821.7</v>
      </c>
      <c r="G442" s="2">
        <v>1454.409</v>
      </c>
      <c r="H442" s="2">
        <v>99.0</v>
      </c>
      <c r="I442" s="2">
        <v>4679.0</v>
      </c>
      <c r="J442" s="2">
        <f t="shared" si="1"/>
        <v>1.77</v>
      </c>
      <c r="K442" s="2">
        <f t="shared" si="2"/>
        <v>1.77</v>
      </c>
      <c r="L442" s="2">
        <f t="shared" si="3"/>
        <v>177</v>
      </c>
      <c r="M442" s="2">
        <f t="shared" si="4"/>
        <v>0.1204819277</v>
      </c>
    </row>
    <row r="443" ht="15.75" customHeight="1">
      <c r="A443" s="3">
        <v>44981.0</v>
      </c>
      <c r="B443" s="2" t="s">
        <v>14</v>
      </c>
      <c r="C443" s="2" t="s">
        <v>17</v>
      </c>
      <c r="D443" s="2" t="s">
        <v>13</v>
      </c>
      <c r="E443" s="2">
        <v>10870.0</v>
      </c>
      <c r="F443" s="2">
        <v>326.09999999999997</v>
      </c>
      <c r="G443" s="2">
        <v>508.71599999999995</v>
      </c>
      <c r="H443" s="2">
        <v>52.0</v>
      </c>
      <c r="I443" s="2">
        <v>4030.0</v>
      </c>
      <c r="J443" s="2">
        <f t="shared" si="1"/>
        <v>1.56</v>
      </c>
      <c r="K443" s="2">
        <f t="shared" si="2"/>
        <v>1.56</v>
      </c>
      <c r="L443" s="2">
        <f t="shared" si="3"/>
        <v>46.8</v>
      </c>
      <c r="M443" s="2">
        <f t="shared" si="4"/>
        <v>0.1594602883</v>
      </c>
    </row>
    <row r="444" ht="15.75" customHeight="1">
      <c r="A444" s="3">
        <v>44981.0</v>
      </c>
      <c r="B444" s="2" t="s">
        <v>20</v>
      </c>
      <c r="C444" s="2" t="s">
        <v>21</v>
      </c>
      <c r="D444" s="2" t="s">
        <v>13</v>
      </c>
      <c r="E444" s="2">
        <v>3888.0</v>
      </c>
      <c r="F444" s="2">
        <v>388.8</v>
      </c>
      <c r="G444" s="2">
        <v>489.88800000000003</v>
      </c>
      <c r="H444" s="2">
        <v>78.0</v>
      </c>
      <c r="I444" s="2">
        <v>3854.0</v>
      </c>
      <c r="J444" s="2">
        <f t="shared" si="1"/>
        <v>1.26</v>
      </c>
      <c r="K444" s="2">
        <f t="shared" si="2"/>
        <v>1.26</v>
      </c>
      <c r="L444" s="2">
        <f t="shared" si="3"/>
        <v>126</v>
      </c>
      <c r="M444" s="2">
        <f t="shared" si="4"/>
        <v>0.200617284</v>
      </c>
    </row>
    <row r="445" ht="15.75" customHeight="1">
      <c r="A445" s="3">
        <v>44981.0</v>
      </c>
      <c r="B445" s="2" t="s">
        <v>20</v>
      </c>
      <c r="C445" s="2" t="s">
        <v>23</v>
      </c>
      <c r="D445" s="2" t="s">
        <v>32</v>
      </c>
      <c r="E445" s="2">
        <v>4365.0</v>
      </c>
      <c r="F445" s="2">
        <v>392.84999999999997</v>
      </c>
      <c r="G445" s="2">
        <v>573.5609999999999</v>
      </c>
      <c r="H445" s="2">
        <v>27.0</v>
      </c>
      <c r="I445" s="2">
        <v>450.0</v>
      </c>
      <c r="J445" s="2">
        <f t="shared" si="1"/>
        <v>1.46</v>
      </c>
      <c r="K445" s="2">
        <f t="shared" si="2"/>
        <v>1.46</v>
      </c>
      <c r="L445" s="2">
        <f t="shared" si="3"/>
        <v>131.4</v>
      </c>
      <c r="M445" s="2">
        <f t="shared" si="4"/>
        <v>0.06872852234</v>
      </c>
    </row>
    <row r="446" ht="15.75" customHeight="1">
      <c r="A446" s="3">
        <v>44981.0</v>
      </c>
      <c r="B446" s="2" t="s">
        <v>26</v>
      </c>
      <c r="C446" s="2" t="s">
        <v>27</v>
      </c>
      <c r="D446" s="2" t="s">
        <v>28</v>
      </c>
      <c r="E446" s="2">
        <v>10406.0</v>
      </c>
      <c r="F446" s="2">
        <v>520.3000000000001</v>
      </c>
      <c r="G446" s="2">
        <v>967.7580000000002</v>
      </c>
      <c r="H446" s="2">
        <v>78.0</v>
      </c>
      <c r="I446" s="2">
        <v>3892.0</v>
      </c>
      <c r="J446" s="2">
        <f t="shared" si="1"/>
        <v>1.86</v>
      </c>
      <c r="K446" s="2">
        <f t="shared" si="2"/>
        <v>1.86</v>
      </c>
      <c r="L446" s="2">
        <f t="shared" si="3"/>
        <v>93</v>
      </c>
      <c r="M446" s="2">
        <f t="shared" si="4"/>
        <v>0.1499135114</v>
      </c>
    </row>
    <row r="447" ht="15.75" customHeight="1">
      <c r="A447" s="3">
        <v>44981.0</v>
      </c>
      <c r="B447" s="2" t="s">
        <v>26</v>
      </c>
      <c r="C447" s="2" t="s">
        <v>31</v>
      </c>
      <c r="D447" s="2" t="s">
        <v>22</v>
      </c>
      <c r="E447" s="2">
        <v>10843.0</v>
      </c>
      <c r="F447" s="2">
        <v>325.28999999999996</v>
      </c>
      <c r="G447" s="2">
        <v>513.9581999999999</v>
      </c>
      <c r="H447" s="2">
        <v>55.0</v>
      </c>
      <c r="I447" s="2">
        <v>491.0</v>
      </c>
      <c r="J447" s="2">
        <f t="shared" si="1"/>
        <v>1.58</v>
      </c>
      <c r="K447" s="2">
        <f t="shared" si="2"/>
        <v>1.58</v>
      </c>
      <c r="L447" s="2">
        <f t="shared" si="3"/>
        <v>47.4</v>
      </c>
      <c r="M447" s="2">
        <f t="shared" si="4"/>
        <v>0.1690798979</v>
      </c>
    </row>
    <row r="448" ht="15.75" customHeight="1">
      <c r="A448" s="3">
        <v>44981.0</v>
      </c>
      <c r="B448" s="2" t="s">
        <v>33</v>
      </c>
      <c r="C448" s="2" t="s">
        <v>34</v>
      </c>
      <c r="D448" s="2" t="s">
        <v>30</v>
      </c>
      <c r="E448" s="2">
        <v>5912.0</v>
      </c>
      <c r="F448" s="2">
        <v>118.24000000000001</v>
      </c>
      <c r="G448" s="2">
        <v>0.0</v>
      </c>
      <c r="H448" s="2">
        <v>13.0</v>
      </c>
      <c r="I448" s="2">
        <v>643.0</v>
      </c>
      <c r="J448" s="2">
        <f t="shared" si="1"/>
        <v>0</v>
      </c>
      <c r="K448" s="2">
        <f t="shared" si="2"/>
        <v>0</v>
      </c>
      <c r="L448" s="2">
        <f t="shared" si="3"/>
        <v>0</v>
      </c>
      <c r="M448" s="2">
        <f t="shared" si="4"/>
        <v>0.1099458728</v>
      </c>
    </row>
    <row r="449" ht="15.75" customHeight="1">
      <c r="A449" s="3">
        <v>44981.0</v>
      </c>
      <c r="B449" s="2" t="s">
        <v>33</v>
      </c>
      <c r="C449" s="2" t="s">
        <v>35</v>
      </c>
      <c r="D449" s="2" t="s">
        <v>22</v>
      </c>
      <c r="E449" s="2">
        <v>3453.0</v>
      </c>
      <c r="F449" s="2">
        <v>345.3</v>
      </c>
      <c r="G449" s="2">
        <v>0.0</v>
      </c>
      <c r="H449" s="2">
        <v>35.0</v>
      </c>
      <c r="I449" s="2">
        <v>1482.0</v>
      </c>
      <c r="J449" s="2">
        <f t="shared" si="1"/>
        <v>0</v>
      </c>
      <c r="K449" s="2">
        <f t="shared" si="2"/>
        <v>0</v>
      </c>
      <c r="L449" s="2">
        <f t="shared" si="3"/>
        <v>0</v>
      </c>
      <c r="M449" s="2">
        <f t="shared" si="4"/>
        <v>0.1013611352</v>
      </c>
    </row>
    <row r="450" ht="15.75" customHeight="1">
      <c r="A450" s="3">
        <v>44982.0</v>
      </c>
      <c r="B450" s="2" t="s">
        <v>14</v>
      </c>
      <c r="C450" s="2" t="s">
        <v>15</v>
      </c>
      <c r="D450" s="2" t="s">
        <v>25</v>
      </c>
      <c r="E450" s="2">
        <v>10755.0</v>
      </c>
      <c r="F450" s="2">
        <v>215.1</v>
      </c>
      <c r="G450" s="2">
        <v>228.006</v>
      </c>
      <c r="H450" s="2">
        <v>19.0</v>
      </c>
      <c r="I450" s="2">
        <v>2782.0</v>
      </c>
      <c r="J450" s="2">
        <f t="shared" si="1"/>
        <v>1.06</v>
      </c>
      <c r="K450" s="2">
        <f t="shared" si="2"/>
        <v>1.06</v>
      </c>
      <c r="L450" s="2">
        <f t="shared" si="3"/>
        <v>21.2</v>
      </c>
      <c r="M450" s="2">
        <f t="shared" si="4"/>
        <v>0.08833100883</v>
      </c>
    </row>
    <row r="451" ht="15.75" customHeight="1">
      <c r="A451" s="3">
        <v>44982.0</v>
      </c>
      <c r="B451" s="2" t="s">
        <v>14</v>
      </c>
      <c r="C451" s="2" t="s">
        <v>17</v>
      </c>
      <c r="D451" s="2" t="s">
        <v>16</v>
      </c>
      <c r="E451" s="2">
        <v>8115.0</v>
      </c>
      <c r="F451" s="2">
        <v>243.45</v>
      </c>
      <c r="G451" s="2">
        <v>175.284</v>
      </c>
      <c r="H451" s="2">
        <v>41.0</v>
      </c>
      <c r="I451" s="2">
        <v>4297.0</v>
      </c>
      <c r="J451" s="2">
        <f t="shared" si="1"/>
        <v>0.72</v>
      </c>
      <c r="K451" s="2">
        <f t="shared" si="2"/>
        <v>0.72</v>
      </c>
      <c r="L451" s="2">
        <f t="shared" si="3"/>
        <v>21.6</v>
      </c>
      <c r="M451" s="2">
        <f t="shared" si="4"/>
        <v>0.168412405</v>
      </c>
    </row>
    <row r="452" ht="15.75" customHeight="1">
      <c r="A452" s="3">
        <v>44982.0</v>
      </c>
      <c r="B452" s="2" t="s">
        <v>20</v>
      </c>
      <c r="C452" s="2" t="s">
        <v>21</v>
      </c>
      <c r="D452" s="2" t="s">
        <v>19</v>
      </c>
      <c r="E452" s="2">
        <v>5281.0</v>
      </c>
      <c r="F452" s="2">
        <v>422.48</v>
      </c>
      <c r="G452" s="2">
        <v>363.3328</v>
      </c>
      <c r="H452" s="2">
        <v>55.0</v>
      </c>
      <c r="I452" s="2">
        <v>1355.0</v>
      </c>
      <c r="J452" s="2">
        <f t="shared" si="1"/>
        <v>0.86</v>
      </c>
      <c r="K452" s="2">
        <f t="shared" si="2"/>
        <v>0.86</v>
      </c>
      <c r="L452" s="2">
        <f t="shared" si="3"/>
        <v>68.8</v>
      </c>
      <c r="M452" s="2">
        <f t="shared" si="4"/>
        <v>0.1301836773</v>
      </c>
    </row>
    <row r="453" ht="15.75" customHeight="1">
      <c r="A453" s="3">
        <v>44982.0</v>
      </c>
      <c r="B453" s="2" t="s">
        <v>20</v>
      </c>
      <c r="C453" s="2" t="s">
        <v>23</v>
      </c>
      <c r="D453" s="2" t="s">
        <v>18</v>
      </c>
      <c r="E453" s="2">
        <v>4455.0</v>
      </c>
      <c r="F453" s="2">
        <v>222.75</v>
      </c>
      <c r="G453" s="2">
        <v>149.2425</v>
      </c>
      <c r="H453" s="2">
        <v>31.0</v>
      </c>
      <c r="I453" s="2">
        <v>1116.0</v>
      </c>
      <c r="J453" s="2">
        <f t="shared" si="1"/>
        <v>0.67</v>
      </c>
      <c r="K453" s="2">
        <f t="shared" si="2"/>
        <v>0.67</v>
      </c>
      <c r="L453" s="2">
        <f t="shared" si="3"/>
        <v>33.5</v>
      </c>
      <c r="M453" s="2">
        <f t="shared" si="4"/>
        <v>0.1391694725</v>
      </c>
    </row>
    <row r="454" ht="15.75" customHeight="1">
      <c r="A454" s="3">
        <v>44982.0</v>
      </c>
      <c r="B454" s="2" t="s">
        <v>26</v>
      </c>
      <c r="C454" s="2" t="s">
        <v>27</v>
      </c>
      <c r="D454" s="2" t="s">
        <v>16</v>
      </c>
      <c r="E454" s="2">
        <v>14037.0</v>
      </c>
      <c r="F454" s="2">
        <v>280.74</v>
      </c>
      <c r="G454" s="2">
        <v>409.8804</v>
      </c>
      <c r="H454" s="2">
        <v>45.0</v>
      </c>
      <c r="I454" s="2">
        <v>208.0</v>
      </c>
      <c r="J454" s="2">
        <f t="shared" si="1"/>
        <v>1.46</v>
      </c>
      <c r="K454" s="2">
        <f t="shared" si="2"/>
        <v>1.46</v>
      </c>
      <c r="L454" s="2">
        <f t="shared" si="3"/>
        <v>29.2</v>
      </c>
      <c r="M454" s="2">
        <f t="shared" si="4"/>
        <v>0.1602906604</v>
      </c>
    </row>
    <row r="455" ht="15.75" customHeight="1">
      <c r="A455" s="3">
        <v>44982.0</v>
      </c>
      <c r="B455" s="2" t="s">
        <v>26</v>
      </c>
      <c r="C455" s="2" t="s">
        <v>31</v>
      </c>
      <c r="D455" s="2" t="s">
        <v>30</v>
      </c>
      <c r="E455" s="2">
        <v>13991.0</v>
      </c>
      <c r="F455" s="2">
        <v>419.72999999999996</v>
      </c>
      <c r="G455" s="2">
        <v>801.6842999999999</v>
      </c>
      <c r="H455" s="2">
        <v>80.0</v>
      </c>
      <c r="I455" s="2">
        <v>2740.0</v>
      </c>
      <c r="J455" s="2">
        <f t="shared" si="1"/>
        <v>1.91</v>
      </c>
      <c r="K455" s="2">
        <f t="shared" si="2"/>
        <v>1.91</v>
      </c>
      <c r="L455" s="2">
        <f t="shared" si="3"/>
        <v>57.3</v>
      </c>
      <c r="M455" s="2">
        <f t="shared" si="4"/>
        <v>0.1905987182</v>
      </c>
    </row>
    <row r="456" ht="15.75" customHeight="1">
      <c r="A456" s="3">
        <v>44982.0</v>
      </c>
      <c r="B456" s="2" t="s">
        <v>33</v>
      </c>
      <c r="C456" s="2" t="s">
        <v>34</v>
      </c>
      <c r="D456" s="2" t="s">
        <v>22</v>
      </c>
      <c r="E456" s="2">
        <v>3386.0</v>
      </c>
      <c r="F456" s="2">
        <v>270.88</v>
      </c>
      <c r="G456" s="2">
        <v>0.0</v>
      </c>
      <c r="H456" s="2">
        <v>54.0</v>
      </c>
      <c r="I456" s="2">
        <v>1110.0</v>
      </c>
      <c r="J456" s="2">
        <f t="shared" si="1"/>
        <v>0</v>
      </c>
      <c r="K456" s="2">
        <f t="shared" si="2"/>
        <v>0</v>
      </c>
      <c r="L456" s="2">
        <f t="shared" si="3"/>
        <v>0</v>
      </c>
      <c r="M456" s="2">
        <f t="shared" si="4"/>
        <v>0.1993502658</v>
      </c>
    </row>
    <row r="457" ht="15.75" customHeight="1">
      <c r="A457" s="3">
        <v>44982.0</v>
      </c>
      <c r="B457" s="2" t="s">
        <v>33</v>
      </c>
      <c r="C457" s="2" t="s">
        <v>35</v>
      </c>
      <c r="D457" s="2" t="s">
        <v>13</v>
      </c>
      <c r="E457" s="2">
        <v>3607.0</v>
      </c>
      <c r="F457" s="2">
        <v>216.42</v>
      </c>
      <c r="G457" s="2">
        <v>0.0</v>
      </c>
      <c r="H457" s="2">
        <v>43.0</v>
      </c>
      <c r="I457" s="2">
        <v>4530.0</v>
      </c>
      <c r="J457" s="2">
        <f t="shared" si="1"/>
        <v>0</v>
      </c>
      <c r="K457" s="2">
        <f t="shared" si="2"/>
        <v>0</v>
      </c>
      <c r="L457" s="2">
        <f t="shared" si="3"/>
        <v>0</v>
      </c>
      <c r="M457" s="2">
        <f t="shared" si="4"/>
        <v>0.1986877368</v>
      </c>
    </row>
    <row r="458" ht="15.75" customHeight="1">
      <c r="A458" s="3">
        <v>44983.0</v>
      </c>
      <c r="B458" s="2" t="s">
        <v>14</v>
      </c>
      <c r="C458" s="2" t="s">
        <v>15</v>
      </c>
      <c r="D458" s="2" t="s">
        <v>30</v>
      </c>
      <c r="E458" s="2">
        <v>8151.0</v>
      </c>
      <c r="F458" s="2">
        <v>733.5899999999999</v>
      </c>
      <c r="G458" s="2">
        <v>1093.0491</v>
      </c>
      <c r="H458" s="2">
        <v>147.0</v>
      </c>
      <c r="I458" s="2">
        <v>2746.0</v>
      </c>
      <c r="J458" s="2">
        <f t="shared" si="1"/>
        <v>1.49</v>
      </c>
      <c r="K458" s="2">
        <f t="shared" si="2"/>
        <v>1.49</v>
      </c>
      <c r="L458" s="2">
        <f t="shared" si="3"/>
        <v>134.1</v>
      </c>
      <c r="M458" s="2">
        <f t="shared" si="4"/>
        <v>0.2003844109</v>
      </c>
    </row>
    <row r="459" ht="15.75" customHeight="1">
      <c r="A459" s="3">
        <v>44983.0</v>
      </c>
      <c r="B459" s="2" t="s">
        <v>14</v>
      </c>
      <c r="C459" s="2" t="s">
        <v>17</v>
      </c>
      <c r="D459" s="2" t="s">
        <v>28</v>
      </c>
      <c r="E459" s="2">
        <v>9195.0</v>
      </c>
      <c r="F459" s="2">
        <v>827.55</v>
      </c>
      <c r="G459" s="2">
        <v>1158.57</v>
      </c>
      <c r="H459" s="2">
        <v>108.0</v>
      </c>
      <c r="I459" s="2">
        <v>2383.0</v>
      </c>
      <c r="J459" s="2">
        <f t="shared" si="1"/>
        <v>1.4</v>
      </c>
      <c r="K459" s="2">
        <f t="shared" si="2"/>
        <v>1.4</v>
      </c>
      <c r="L459" s="2">
        <f t="shared" si="3"/>
        <v>126</v>
      </c>
      <c r="M459" s="2">
        <f t="shared" si="4"/>
        <v>0.1305057096</v>
      </c>
    </row>
    <row r="460" ht="15.75" customHeight="1">
      <c r="A460" s="3">
        <v>44983.0</v>
      </c>
      <c r="B460" s="2" t="s">
        <v>20</v>
      </c>
      <c r="C460" s="2" t="s">
        <v>21</v>
      </c>
      <c r="D460" s="2" t="s">
        <v>16</v>
      </c>
      <c r="E460" s="2">
        <v>2984.0</v>
      </c>
      <c r="F460" s="2">
        <v>268.56</v>
      </c>
      <c r="G460" s="2">
        <v>400.1544</v>
      </c>
      <c r="H460" s="2">
        <v>35.0</v>
      </c>
      <c r="I460" s="2">
        <v>2080.0</v>
      </c>
      <c r="J460" s="2">
        <f t="shared" si="1"/>
        <v>1.49</v>
      </c>
      <c r="K460" s="2">
        <f t="shared" si="2"/>
        <v>1.49</v>
      </c>
      <c r="L460" s="2">
        <f t="shared" si="3"/>
        <v>134.1</v>
      </c>
      <c r="M460" s="2">
        <f t="shared" si="4"/>
        <v>0.1303246947</v>
      </c>
    </row>
    <row r="461" ht="15.75" customHeight="1">
      <c r="A461" s="3">
        <v>44983.0</v>
      </c>
      <c r="B461" s="2" t="s">
        <v>20</v>
      </c>
      <c r="C461" s="2" t="s">
        <v>23</v>
      </c>
      <c r="D461" s="2" t="s">
        <v>22</v>
      </c>
      <c r="E461" s="2">
        <v>2308.0</v>
      </c>
      <c r="F461" s="2">
        <v>69.24</v>
      </c>
      <c r="G461" s="2">
        <v>131.55599999999998</v>
      </c>
      <c r="H461" s="2">
        <v>4.0</v>
      </c>
      <c r="I461" s="2">
        <v>3381.0</v>
      </c>
      <c r="J461" s="2">
        <f t="shared" si="1"/>
        <v>1.9</v>
      </c>
      <c r="K461" s="2">
        <f t="shared" si="2"/>
        <v>1.9</v>
      </c>
      <c r="L461" s="2">
        <f t="shared" si="3"/>
        <v>57</v>
      </c>
      <c r="M461" s="2">
        <f t="shared" si="4"/>
        <v>0.0577700751</v>
      </c>
    </row>
    <row r="462" ht="15.75" customHeight="1">
      <c r="A462" s="3">
        <v>44983.0</v>
      </c>
      <c r="B462" s="2" t="s">
        <v>26</v>
      </c>
      <c r="C462" s="2" t="s">
        <v>27</v>
      </c>
      <c r="D462" s="2" t="s">
        <v>16</v>
      </c>
      <c r="E462" s="2">
        <v>12123.0</v>
      </c>
      <c r="F462" s="2">
        <v>606.15</v>
      </c>
      <c r="G462" s="2">
        <v>527.3505</v>
      </c>
      <c r="H462" s="2">
        <v>73.0</v>
      </c>
      <c r="I462" s="2">
        <v>892.0</v>
      </c>
      <c r="J462" s="2">
        <f t="shared" si="1"/>
        <v>0.87</v>
      </c>
      <c r="K462" s="2">
        <f t="shared" si="2"/>
        <v>0.87</v>
      </c>
      <c r="L462" s="2">
        <f t="shared" si="3"/>
        <v>43.5</v>
      </c>
      <c r="M462" s="2">
        <f t="shared" si="4"/>
        <v>0.1204322362</v>
      </c>
    </row>
    <row r="463" ht="15.75" customHeight="1">
      <c r="A463" s="3">
        <v>44983.0</v>
      </c>
      <c r="B463" s="2" t="s">
        <v>26</v>
      </c>
      <c r="C463" s="2" t="s">
        <v>31</v>
      </c>
      <c r="D463" s="2" t="s">
        <v>22</v>
      </c>
      <c r="E463" s="2">
        <v>11486.0</v>
      </c>
      <c r="F463" s="2">
        <v>689.16</v>
      </c>
      <c r="G463" s="2">
        <v>1199.1384</v>
      </c>
      <c r="H463" s="2">
        <v>131.0</v>
      </c>
      <c r="I463" s="2">
        <v>2778.0</v>
      </c>
      <c r="J463" s="2">
        <f t="shared" si="1"/>
        <v>1.74</v>
      </c>
      <c r="K463" s="2">
        <f t="shared" si="2"/>
        <v>1.74</v>
      </c>
      <c r="L463" s="2">
        <f t="shared" si="3"/>
        <v>104.4</v>
      </c>
      <c r="M463" s="2">
        <f t="shared" si="4"/>
        <v>0.1900864821</v>
      </c>
    </row>
    <row r="464" ht="15.75" customHeight="1">
      <c r="A464" s="3">
        <v>44983.0</v>
      </c>
      <c r="B464" s="2" t="s">
        <v>33</v>
      </c>
      <c r="C464" s="2" t="s">
        <v>34</v>
      </c>
      <c r="D464" s="2" t="s">
        <v>30</v>
      </c>
      <c r="E464" s="2">
        <v>3073.0</v>
      </c>
      <c r="F464" s="2">
        <v>153.65</v>
      </c>
      <c r="G464" s="2">
        <v>0.0</v>
      </c>
      <c r="H464" s="2">
        <v>11.0</v>
      </c>
      <c r="I464" s="2">
        <v>3712.0</v>
      </c>
      <c r="J464" s="2">
        <f t="shared" si="1"/>
        <v>0</v>
      </c>
      <c r="K464" s="2">
        <f t="shared" si="2"/>
        <v>0</v>
      </c>
      <c r="L464" s="2">
        <f t="shared" si="3"/>
        <v>0</v>
      </c>
      <c r="M464" s="2">
        <f t="shared" si="4"/>
        <v>0.07159127888</v>
      </c>
    </row>
    <row r="465" ht="15.75" customHeight="1">
      <c r="A465" s="3">
        <v>44983.0</v>
      </c>
      <c r="B465" s="2" t="s">
        <v>33</v>
      </c>
      <c r="C465" s="2" t="s">
        <v>35</v>
      </c>
      <c r="D465" s="2" t="s">
        <v>22</v>
      </c>
      <c r="E465" s="2">
        <v>3163.0</v>
      </c>
      <c r="F465" s="2">
        <v>94.89</v>
      </c>
      <c r="G465" s="2">
        <v>0.0</v>
      </c>
      <c r="H465" s="2">
        <v>15.0</v>
      </c>
      <c r="I465" s="2">
        <v>626.0</v>
      </c>
      <c r="J465" s="2">
        <f t="shared" si="1"/>
        <v>0</v>
      </c>
      <c r="K465" s="2">
        <f t="shared" si="2"/>
        <v>0</v>
      </c>
      <c r="L465" s="2">
        <f t="shared" si="3"/>
        <v>0</v>
      </c>
      <c r="M465" s="2">
        <f t="shared" si="4"/>
        <v>0.1580777743</v>
      </c>
    </row>
    <row r="466" ht="15.75" customHeight="1">
      <c r="A466" s="3">
        <v>44984.0</v>
      </c>
      <c r="B466" s="2" t="s">
        <v>14</v>
      </c>
      <c r="C466" s="2" t="s">
        <v>15</v>
      </c>
      <c r="D466" s="2" t="s">
        <v>22</v>
      </c>
      <c r="E466" s="2">
        <v>7135.0</v>
      </c>
      <c r="F466" s="2">
        <v>713.5</v>
      </c>
      <c r="G466" s="2">
        <v>420.965</v>
      </c>
      <c r="H466" s="2">
        <v>93.0</v>
      </c>
      <c r="I466" s="2">
        <v>2391.0</v>
      </c>
      <c r="J466" s="2">
        <f t="shared" si="1"/>
        <v>0.59</v>
      </c>
      <c r="K466" s="2">
        <f t="shared" si="2"/>
        <v>0.59</v>
      </c>
      <c r="L466" s="2">
        <f t="shared" si="3"/>
        <v>59</v>
      </c>
      <c r="M466" s="2">
        <f t="shared" si="4"/>
        <v>0.1303433777</v>
      </c>
    </row>
    <row r="467" ht="15.75" customHeight="1">
      <c r="A467" s="3">
        <v>44984.0</v>
      </c>
      <c r="B467" s="2" t="s">
        <v>14</v>
      </c>
      <c r="C467" s="2" t="s">
        <v>17</v>
      </c>
      <c r="D467" s="2" t="s">
        <v>13</v>
      </c>
      <c r="E467" s="2">
        <v>5070.0</v>
      </c>
      <c r="F467" s="2">
        <v>354.90000000000003</v>
      </c>
      <c r="G467" s="2">
        <v>354.90000000000003</v>
      </c>
      <c r="H467" s="2">
        <v>32.0</v>
      </c>
      <c r="I467" s="2">
        <v>3052.0</v>
      </c>
      <c r="J467" s="2">
        <f t="shared" si="1"/>
        <v>1</v>
      </c>
      <c r="K467" s="2">
        <f t="shared" si="2"/>
        <v>1</v>
      </c>
      <c r="L467" s="2">
        <f t="shared" si="3"/>
        <v>70</v>
      </c>
      <c r="M467" s="2">
        <f t="shared" si="4"/>
        <v>0.09016624401</v>
      </c>
    </row>
    <row r="468" ht="15.75" customHeight="1">
      <c r="A468" s="3">
        <v>44984.0</v>
      </c>
      <c r="B468" s="2" t="s">
        <v>20</v>
      </c>
      <c r="C468" s="2" t="s">
        <v>21</v>
      </c>
      <c r="D468" s="2" t="s">
        <v>30</v>
      </c>
      <c r="E468" s="2">
        <v>5148.0</v>
      </c>
      <c r="F468" s="2">
        <v>360.36</v>
      </c>
      <c r="G468" s="2">
        <v>133.3332</v>
      </c>
      <c r="H468" s="2">
        <v>50.0</v>
      </c>
      <c r="I468" s="2">
        <v>2314.0</v>
      </c>
      <c r="J468" s="2">
        <f t="shared" si="1"/>
        <v>0.37</v>
      </c>
      <c r="K468" s="2">
        <f t="shared" si="2"/>
        <v>0.37</v>
      </c>
      <c r="L468" s="2">
        <f t="shared" si="3"/>
        <v>25.9</v>
      </c>
      <c r="M468" s="2">
        <f t="shared" si="4"/>
        <v>0.1387501388</v>
      </c>
    </row>
    <row r="469" ht="15.75" customHeight="1">
      <c r="A469" s="3">
        <v>44984.0</v>
      </c>
      <c r="B469" s="2" t="s">
        <v>20</v>
      </c>
      <c r="C469" s="2" t="s">
        <v>23</v>
      </c>
      <c r="D469" s="2" t="s">
        <v>19</v>
      </c>
      <c r="E469" s="2">
        <v>4035.0</v>
      </c>
      <c r="F469" s="2">
        <v>121.05</v>
      </c>
      <c r="G469" s="2">
        <v>197.3115</v>
      </c>
      <c r="H469" s="2">
        <v>22.0</v>
      </c>
      <c r="I469" s="2">
        <v>4492.0</v>
      </c>
      <c r="J469" s="2">
        <f t="shared" si="1"/>
        <v>1.63</v>
      </c>
      <c r="K469" s="2">
        <f t="shared" si="2"/>
        <v>1.63</v>
      </c>
      <c r="L469" s="2">
        <f t="shared" si="3"/>
        <v>48.9</v>
      </c>
      <c r="M469" s="2">
        <f t="shared" si="4"/>
        <v>0.1817430814</v>
      </c>
    </row>
    <row r="470" ht="15.75" customHeight="1">
      <c r="A470" s="3">
        <v>44984.0</v>
      </c>
      <c r="B470" s="2" t="s">
        <v>26</v>
      </c>
      <c r="C470" s="2" t="s">
        <v>27</v>
      </c>
      <c r="D470" s="2" t="s">
        <v>16</v>
      </c>
      <c r="E470" s="2">
        <v>12184.0</v>
      </c>
      <c r="F470" s="2">
        <v>731.04</v>
      </c>
      <c r="G470" s="2">
        <v>636.0047999999999</v>
      </c>
      <c r="H470" s="2">
        <v>44.0</v>
      </c>
      <c r="I470" s="2">
        <v>3650.0</v>
      </c>
      <c r="J470" s="2">
        <f t="shared" si="1"/>
        <v>0.87</v>
      </c>
      <c r="K470" s="2">
        <f t="shared" si="2"/>
        <v>0.87</v>
      </c>
      <c r="L470" s="2">
        <f t="shared" si="3"/>
        <v>52.2</v>
      </c>
      <c r="M470" s="2">
        <f t="shared" si="4"/>
        <v>0.06018822499</v>
      </c>
    </row>
    <row r="471" ht="15.75" customHeight="1">
      <c r="A471" s="3">
        <v>44984.0</v>
      </c>
      <c r="B471" s="2" t="s">
        <v>26</v>
      </c>
      <c r="C471" s="2" t="s">
        <v>31</v>
      </c>
      <c r="D471" s="2" t="s">
        <v>28</v>
      </c>
      <c r="E471" s="2">
        <v>10023.0</v>
      </c>
      <c r="F471" s="2">
        <v>601.38</v>
      </c>
      <c r="G471" s="2">
        <v>787.8078</v>
      </c>
      <c r="H471" s="2">
        <v>72.0</v>
      </c>
      <c r="I471" s="2">
        <v>2925.0</v>
      </c>
      <c r="J471" s="2">
        <f t="shared" si="1"/>
        <v>1.31</v>
      </c>
      <c r="K471" s="2">
        <f t="shared" si="2"/>
        <v>1.31</v>
      </c>
      <c r="L471" s="2">
        <f t="shared" si="3"/>
        <v>78.6</v>
      </c>
      <c r="M471" s="2">
        <f t="shared" si="4"/>
        <v>0.1197246333</v>
      </c>
    </row>
    <row r="472" ht="15.75" customHeight="1">
      <c r="A472" s="3">
        <v>44984.0</v>
      </c>
      <c r="B472" s="2" t="s">
        <v>33</v>
      </c>
      <c r="C472" s="2" t="s">
        <v>34</v>
      </c>
      <c r="D472" s="2" t="s">
        <v>28</v>
      </c>
      <c r="E472" s="2">
        <v>5982.0</v>
      </c>
      <c r="F472" s="2">
        <v>239.28</v>
      </c>
      <c r="G472" s="2">
        <v>0.0</v>
      </c>
      <c r="H472" s="2">
        <v>41.0</v>
      </c>
      <c r="I472" s="2">
        <v>4160.0</v>
      </c>
      <c r="J472" s="2">
        <f t="shared" si="1"/>
        <v>0</v>
      </c>
      <c r="K472" s="2">
        <f t="shared" si="2"/>
        <v>0</v>
      </c>
      <c r="L472" s="2">
        <f t="shared" si="3"/>
        <v>0</v>
      </c>
      <c r="M472" s="2">
        <f t="shared" si="4"/>
        <v>0.1713473755</v>
      </c>
    </row>
    <row r="473" ht="15.75" customHeight="1">
      <c r="A473" s="3">
        <v>44984.0</v>
      </c>
      <c r="B473" s="2" t="s">
        <v>33</v>
      </c>
      <c r="C473" s="2" t="s">
        <v>35</v>
      </c>
      <c r="D473" s="2" t="s">
        <v>24</v>
      </c>
      <c r="E473" s="2">
        <v>3809.0</v>
      </c>
      <c r="F473" s="2">
        <v>304.72</v>
      </c>
      <c r="G473" s="2">
        <v>0.0</v>
      </c>
      <c r="H473" s="2">
        <v>37.0</v>
      </c>
      <c r="I473" s="2">
        <v>4611.0</v>
      </c>
      <c r="J473" s="2">
        <f t="shared" si="1"/>
        <v>0</v>
      </c>
      <c r="K473" s="2">
        <f t="shared" si="2"/>
        <v>0</v>
      </c>
      <c r="L473" s="2">
        <f t="shared" si="3"/>
        <v>0</v>
      </c>
      <c r="M473" s="2">
        <f t="shared" si="4"/>
        <v>0.1214229457</v>
      </c>
    </row>
    <row r="474" ht="15.75" customHeight="1">
      <c r="A474" s="3">
        <v>44985.0</v>
      </c>
      <c r="B474" s="2" t="s">
        <v>14</v>
      </c>
      <c r="C474" s="2" t="s">
        <v>15</v>
      </c>
      <c r="D474" s="2" t="s">
        <v>19</v>
      </c>
      <c r="E474" s="2">
        <v>9003.0</v>
      </c>
      <c r="F474" s="2">
        <v>630.21</v>
      </c>
      <c r="G474" s="2">
        <v>1052.4507</v>
      </c>
      <c r="H474" s="2">
        <v>69.0</v>
      </c>
      <c r="I474" s="2">
        <v>1883.0</v>
      </c>
      <c r="J474" s="2">
        <f t="shared" si="1"/>
        <v>1.67</v>
      </c>
      <c r="K474" s="2">
        <f t="shared" si="2"/>
        <v>1.67</v>
      </c>
      <c r="L474" s="2">
        <f t="shared" si="3"/>
        <v>116.9</v>
      </c>
      <c r="M474" s="2">
        <f t="shared" si="4"/>
        <v>0.1094873138</v>
      </c>
    </row>
    <row r="475" ht="15.75" customHeight="1">
      <c r="A475" s="3">
        <v>44985.0</v>
      </c>
      <c r="B475" s="2" t="s">
        <v>14</v>
      </c>
      <c r="C475" s="2" t="s">
        <v>17</v>
      </c>
      <c r="D475" s="2" t="s">
        <v>16</v>
      </c>
      <c r="E475" s="2">
        <v>10015.0</v>
      </c>
      <c r="F475" s="2">
        <v>901.35</v>
      </c>
      <c r="G475" s="2">
        <v>964.4445000000001</v>
      </c>
      <c r="H475" s="2">
        <v>99.0</v>
      </c>
      <c r="I475" s="2">
        <v>1420.0</v>
      </c>
      <c r="J475" s="2">
        <f t="shared" si="1"/>
        <v>1.07</v>
      </c>
      <c r="K475" s="2">
        <f t="shared" si="2"/>
        <v>1.07</v>
      </c>
      <c r="L475" s="2">
        <f t="shared" si="3"/>
        <v>96.3</v>
      </c>
      <c r="M475" s="2">
        <f t="shared" si="4"/>
        <v>0.1098352471</v>
      </c>
    </row>
    <row r="476" ht="15.75" customHeight="1">
      <c r="A476" s="3">
        <v>44985.0</v>
      </c>
      <c r="B476" s="2" t="s">
        <v>20</v>
      </c>
      <c r="C476" s="2" t="s">
        <v>21</v>
      </c>
      <c r="D476" s="2" t="s">
        <v>16</v>
      </c>
      <c r="E476" s="2">
        <v>2180.0</v>
      </c>
      <c r="F476" s="2">
        <v>130.79999999999998</v>
      </c>
      <c r="G476" s="2">
        <v>213.20399999999995</v>
      </c>
      <c r="H476" s="2">
        <v>21.0</v>
      </c>
      <c r="I476" s="2">
        <v>4745.0</v>
      </c>
      <c r="J476" s="2">
        <f t="shared" si="1"/>
        <v>1.63</v>
      </c>
      <c r="K476" s="2">
        <f t="shared" si="2"/>
        <v>1.63</v>
      </c>
      <c r="L476" s="2">
        <f t="shared" si="3"/>
        <v>97.8</v>
      </c>
      <c r="M476" s="2">
        <f t="shared" si="4"/>
        <v>0.1605504587</v>
      </c>
    </row>
    <row r="477" ht="15.75" customHeight="1">
      <c r="A477" s="3">
        <v>44985.0</v>
      </c>
      <c r="B477" s="2" t="s">
        <v>20</v>
      </c>
      <c r="C477" s="2" t="s">
        <v>23</v>
      </c>
      <c r="D477" s="2" t="s">
        <v>25</v>
      </c>
      <c r="E477" s="2">
        <v>3608.0</v>
      </c>
      <c r="F477" s="2">
        <v>324.71999999999997</v>
      </c>
      <c r="G477" s="2">
        <v>639.6983999999999</v>
      </c>
      <c r="H477" s="2">
        <v>19.0</v>
      </c>
      <c r="I477" s="2">
        <v>947.0</v>
      </c>
      <c r="J477" s="2">
        <f t="shared" si="1"/>
        <v>1.97</v>
      </c>
      <c r="K477" s="2">
        <f t="shared" si="2"/>
        <v>1.97</v>
      </c>
      <c r="L477" s="2">
        <f t="shared" si="3"/>
        <v>177.3</v>
      </c>
      <c r="M477" s="2">
        <f t="shared" si="4"/>
        <v>0.05851194876</v>
      </c>
    </row>
    <row r="478" ht="15.75" customHeight="1">
      <c r="A478" s="3">
        <v>44985.0</v>
      </c>
      <c r="B478" s="2" t="s">
        <v>26</v>
      </c>
      <c r="C478" s="2" t="s">
        <v>27</v>
      </c>
      <c r="D478" s="2" t="s">
        <v>16</v>
      </c>
      <c r="E478" s="2">
        <v>13385.0</v>
      </c>
      <c r="F478" s="2">
        <v>1338.5</v>
      </c>
      <c r="G478" s="2">
        <v>2436.07</v>
      </c>
      <c r="H478" s="2">
        <v>241.0</v>
      </c>
      <c r="I478" s="2">
        <v>4448.0</v>
      </c>
      <c r="J478" s="2">
        <f t="shared" si="1"/>
        <v>1.82</v>
      </c>
      <c r="K478" s="2">
        <f t="shared" si="2"/>
        <v>1.82</v>
      </c>
      <c r="L478" s="2">
        <f t="shared" si="3"/>
        <v>182</v>
      </c>
      <c r="M478" s="2">
        <f t="shared" si="4"/>
        <v>0.1800522973</v>
      </c>
    </row>
    <row r="479" ht="15.75" customHeight="1">
      <c r="A479" s="3">
        <v>44985.0</v>
      </c>
      <c r="B479" s="2" t="s">
        <v>26</v>
      </c>
      <c r="C479" s="2" t="s">
        <v>31</v>
      </c>
      <c r="D479" s="2" t="s">
        <v>16</v>
      </c>
      <c r="E479" s="2">
        <v>12945.0</v>
      </c>
      <c r="F479" s="2">
        <v>647.25</v>
      </c>
      <c r="G479" s="2">
        <v>543.6899999999999</v>
      </c>
      <c r="H479" s="2">
        <v>104.0</v>
      </c>
      <c r="I479" s="2">
        <v>1358.0</v>
      </c>
      <c r="J479" s="2">
        <f t="shared" si="1"/>
        <v>0.84</v>
      </c>
      <c r="K479" s="2">
        <f t="shared" si="2"/>
        <v>0.84</v>
      </c>
      <c r="L479" s="2">
        <f t="shared" si="3"/>
        <v>42</v>
      </c>
      <c r="M479" s="2">
        <f t="shared" si="4"/>
        <v>0.1606797992</v>
      </c>
    </row>
    <row r="480" ht="15.75" customHeight="1">
      <c r="A480" s="3">
        <v>44985.0</v>
      </c>
      <c r="B480" s="2" t="s">
        <v>33</v>
      </c>
      <c r="C480" s="2" t="s">
        <v>34</v>
      </c>
      <c r="D480" s="2" t="s">
        <v>32</v>
      </c>
      <c r="E480" s="2">
        <v>5794.0</v>
      </c>
      <c r="F480" s="2">
        <v>463.52</v>
      </c>
      <c r="G480" s="2">
        <v>0.0</v>
      </c>
      <c r="H480" s="2">
        <v>60.0</v>
      </c>
      <c r="I480" s="2">
        <v>3408.0</v>
      </c>
      <c r="J480" s="2">
        <f t="shared" si="1"/>
        <v>0</v>
      </c>
      <c r="K480" s="2">
        <f t="shared" si="2"/>
        <v>0</v>
      </c>
      <c r="L480" s="2">
        <f t="shared" si="3"/>
        <v>0</v>
      </c>
      <c r="M480" s="2">
        <f t="shared" si="4"/>
        <v>0.1294442527</v>
      </c>
    </row>
    <row r="481" ht="15.75" customHeight="1">
      <c r="A481" s="3">
        <v>44985.0</v>
      </c>
      <c r="B481" s="2" t="s">
        <v>33</v>
      </c>
      <c r="C481" s="2" t="s">
        <v>35</v>
      </c>
      <c r="D481" s="2" t="s">
        <v>13</v>
      </c>
      <c r="E481" s="2">
        <v>4334.0</v>
      </c>
      <c r="F481" s="2">
        <v>86.68</v>
      </c>
      <c r="G481" s="2">
        <v>0.0</v>
      </c>
      <c r="H481" s="2">
        <v>15.0</v>
      </c>
      <c r="I481" s="2">
        <v>3863.0</v>
      </c>
      <c r="J481" s="2">
        <f t="shared" si="1"/>
        <v>0</v>
      </c>
      <c r="K481" s="2">
        <f t="shared" si="2"/>
        <v>0</v>
      </c>
      <c r="L481" s="2">
        <f t="shared" si="3"/>
        <v>0</v>
      </c>
      <c r="M481" s="2">
        <f t="shared" si="4"/>
        <v>0.1730503</v>
      </c>
    </row>
    <row r="482" ht="15.75" customHeight="1">
      <c r="A482" s="3" t="s">
        <v>36</v>
      </c>
      <c r="B482" s="2" t="s">
        <v>14</v>
      </c>
      <c r="C482" s="2" t="s">
        <v>15</v>
      </c>
      <c r="D482" s="2" t="s">
        <v>18</v>
      </c>
      <c r="E482" s="2">
        <v>5118.0</v>
      </c>
      <c r="F482" s="2">
        <v>153.54</v>
      </c>
      <c r="G482" s="2">
        <v>218.02679999999998</v>
      </c>
      <c r="H482" s="2">
        <v>11.0</v>
      </c>
      <c r="I482" s="2">
        <v>2997.0</v>
      </c>
      <c r="J482" s="2">
        <f t="shared" si="1"/>
        <v>1.42</v>
      </c>
      <c r="K482" s="2">
        <f t="shared" si="2"/>
        <v>1.42</v>
      </c>
      <c r="L482" s="2">
        <f t="shared" si="3"/>
        <v>42.6</v>
      </c>
      <c r="M482" s="2">
        <f t="shared" si="4"/>
        <v>0.07164256871</v>
      </c>
    </row>
    <row r="483" ht="15.75" customHeight="1">
      <c r="A483" s="3" t="s">
        <v>36</v>
      </c>
      <c r="B483" s="2" t="s">
        <v>14</v>
      </c>
      <c r="C483" s="2" t="s">
        <v>17</v>
      </c>
      <c r="D483" s="2" t="s">
        <v>19</v>
      </c>
      <c r="E483" s="2">
        <v>5626.0</v>
      </c>
      <c r="F483" s="2">
        <v>112.52</v>
      </c>
      <c r="G483" s="2">
        <v>177.7816</v>
      </c>
      <c r="H483" s="2">
        <v>18.0</v>
      </c>
      <c r="I483" s="2">
        <v>4598.0</v>
      </c>
      <c r="J483" s="2">
        <f t="shared" si="1"/>
        <v>1.58</v>
      </c>
      <c r="K483" s="2">
        <f t="shared" si="2"/>
        <v>1.58</v>
      </c>
      <c r="L483" s="2">
        <f t="shared" si="3"/>
        <v>31.6</v>
      </c>
      <c r="M483" s="2">
        <f t="shared" si="4"/>
        <v>0.1599715606</v>
      </c>
    </row>
    <row r="484" ht="15.75" customHeight="1">
      <c r="A484" s="3" t="s">
        <v>36</v>
      </c>
      <c r="B484" s="2" t="s">
        <v>20</v>
      </c>
      <c r="C484" s="2" t="s">
        <v>21</v>
      </c>
      <c r="D484" s="2" t="s">
        <v>25</v>
      </c>
      <c r="E484" s="2">
        <v>2144.0</v>
      </c>
      <c r="F484" s="2">
        <v>192.95999999999998</v>
      </c>
      <c r="G484" s="2">
        <v>252.77759999999998</v>
      </c>
      <c r="H484" s="2">
        <v>19.0</v>
      </c>
      <c r="I484" s="2">
        <v>425.0</v>
      </c>
      <c r="J484" s="2">
        <f t="shared" si="1"/>
        <v>1.31</v>
      </c>
      <c r="K484" s="2">
        <f t="shared" si="2"/>
        <v>1.31</v>
      </c>
      <c r="L484" s="2">
        <f t="shared" si="3"/>
        <v>117.9</v>
      </c>
      <c r="M484" s="2">
        <f t="shared" si="4"/>
        <v>0.09846600332</v>
      </c>
    </row>
    <row r="485" ht="15.75" customHeight="1">
      <c r="A485" s="3" t="s">
        <v>36</v>
      </c>
      <c r="B485" s="2" t="s">
        <v>20</v>
      </c>
      <c r="C485" s="2" t="s">
        <v>23</v>
      </c>
      <c r="D485" s="2" t="s">
        <v>16</v>
      </c>
      <c r="E485" s="2">
        <v>5619.0</v>
      </c>
      <c r="F485" s="2">
        <v>337.14</v>
      </c>
      <c r="G485" s="2">
        <v>219.141</v>
      </c>
      <c r="H485" s="2">
        <v>34.0</v>
      </c>
      <c r="I485" s="2">
        <v>1500.0</v>
      </c>
      <c r="J485" s="2">
        <f t="shared" si="1"/>
        <v>0.65</v>
      </c>
      <c r="K485" s="2">
        <f t="shared" si="2"/>
        <v>0.65</v>
      </c>
      <c r="L485" s="2">
        <f t="shared" si="3"/>
        <v>39</v>
      </c>
      <c r="M485" s="2">
        <f t="shared" si="4"/>
        <v>0.1008483123</v>
      </c>
    </row>
    <row r="486" ht="15.75" customHeight="1">
      <c r="A486" s="3" t="s">
        <v>36</v>
      </c>
      <c r="B486" s="2" t="s">
        <v>26</v>
      </c>
      <c r="C486" s="2" t="s">
        <v>27</v>
      </c>
      <c r="D486" s="2" t="s">
        <v>18</v>
      </c>
      <c r="E486" s="2">
        <v>14729.0</v>
      </c>
      <c r="F486" s="2">
        <v>294.58</v>
      </c>
      <c r="G486" s="2">
        <v>206.206</v>
      </c>
      <c r="H486" s="2">
        <v>29.0</v>
      </c>
      <c r="I486" s="2">
        <v>2053.0</v>
      </c>
      <c r="J486" s="2">
        <f t="shared" si="1"/>
        <v>0.7</v>
      </c>
      <c r="K486" s="2">
        <f t="shared" si="2"/>
        <v>0.7</v>
      </c>
      <c r="L486" s="2">
        <f t="shared" si="3"/>
        <v>14</v>
      </c>
      <c r="M486" s="2">
        <f t="shared" si="4"/>
        <v>0.09844524408</v>
      </c>
    </row>
    <row r="487" ht="15.75" customHeight="1">
      <c r="A487" s="3" t="s">
        <v>36</v>
      </c>
      <c r="B487" s="2" t="s">
        <v>26</v>
      </c>
      <c r="C487" s="2" t="s">
        <v>31</v>
      </c>
      <c r="D487" s="2" t="s">
        <v>19</v>
      </c>
      <c r="E487" s="2">
        <v>14126.0</v>
      </c>
      <c r="F487" s="2">
        <v>282.52</v>
      </c>
      <c r="G487" s="2">
        <v>293.82079999999996</v>
      </c>
      <c r="H487" s="2">
        <v>57.0</v>
      </c>
      <c r="I487" s="2">
        <v>4022.0</v>
      </c>
      <c r="J487" s="2">
        <f t="shared" si="1"/>
        <v>1.04</v>
      </c>
      <c r="K487" s="2">
        <f t="shared" si="2"/>
        <v>1.04</v>
      </c>
      <c r="L487" s="2">
        <f t="shared" si="3"/>
        <v>20.8</v>
      </c>
      <c r="M487" s="2">
        <f t="shared" si="4"/>
        <v>0.2017556279</v>
      </c>
    </row>
    <row r="488" ht="15.75" customHeight="1">
      <c r="A488" s="3" t="s">
        <v>36</v>
      </c>
      <c r="B488" s="2" t="s">
        <v>33</v>
      </c>
      <c r="C488" s="2" t="s">
        <v>34</v>
      </c>
      <c r="D488" s="2" t="s">
        <v>25</v>
      </c>
      <c r="E488" s="2">
        <v>4930.0</v>
      </c>
      <c r="F488" s="2">
        <v>246.5</v>
      </c>
      <c r="G488" s="2">
        <v>0.0</v>
      </c>
      <c r="H488" s="2">
        <v>49.0</v>
      </c>
      <c r="I488" s="2">
        <v>4167.0</v>
      </c>
      <c r="J488" s="2">
        <f t="shared" si="1"/>
        <v>0</v>
      </c>
      <c r="K488" s="2">
        <f t="shared" si="2"/>
        <v>0</v>
      </c>
      <c r="L488" s="2">
        <f t="shared" si="3"/>
        <v>0</v>
      </c>
      <c r="M488" s="2">
        <f t="shared" si="4"/>
        <v>0.1987829615</v>
      </c>
    </row>
    <row r="489" ht="15.75" customHeight="1">
      <c r="A489" s="3" t="s">
        <v>36</v>
      </c>
      <c r="B489" s="2" t="s">
        <v>33</v>
      </c>
      <c r="C489" s="2" t="s">
        <v>35</v>
      </c>
      <c r="D489" s="2" t="s">
        <v>30</v>
      </c>
      <c r="E489" s="2">
        <v>5851.0</v>
      </c>
      <c r="F489" s="2">
        <v>234.04</v>
      </c>
      <c r="G489" s="2">
        <v>0.0</v>
      </c>
      <c r="H489" s="2">
        <v>37.0</v>
      </c>
      <c r="I489" s="2">
        <v>4246.0</v>
      </c>
      <c r="J489" s="2">
        <f t="shared" si="1"/>
        <v>0</v>
      </c>
      <c r="K489" s="2">
        <f t="shared" si="2"/>
        <v>0</v>
      </c>
      <c r="L489" s="2">
        <f t="shared" si="3"/>
        <v>0</v>
      </c>
      <c r="M489" s="2">
        <f t="shared" si="4"/>
        <v>0.1580926337</v>
      </c>
    </row>
    <row r="490" ht="15.75" customHeight="1">
      <c r="A490" s="3">
        <v>44986.0</v>
      </c>
      <c r="B490" s="2" t="s">
        <v>14</v>
      </c>
      <c r="C490" s="2" t="s">
        <v>15</v>
      </c>
      <c r="D490" s="2" t="s">
        <v>13</v>
      </c>
      <c r="E490" s="2">
        <v>10666.0</v>
      </c>
      <c r="F490" s="2">
        <v>533.3000000000001</v>
      </c>
      <c r="G490" s="2">
        <v>927.9420000000001</v>
      </c>
      <c r="H490" s="2">
        <v>43.0</v>
      </c>
      <c r="I490" s="2">
        <v>628.0</v>
      </c>
      <c r="J490" s="2">
        <f t="shared" si="1"/>
        <v>1.74</v>
      </c>
      <c r="K490" s="2">
        <f t="shared" si="2"/>
        <v>1.74</v>
      </c>
      <c r="L490" s="2">
        <f t="shared" si="3"/>
        <v>87</v>
      </c>
      <c r="M490" s="2">
        <f t="shared" si="4"/>
        <v>0.08063003938</v>
      </c>
    </row>
    <row r="491" ht="15.75" customHeight="1">
      <c r="A491" s="3">
        <v>44986.0</v>
      </c>
      <c r="B491" s="2" t="s">
        <v>14</v>
      </c>
      <c r="C491" s="2" t="s">
        <v>17</v>
      </c>
      <c r="D491" s="2" t="s">
        <v>25</v>
      </c>
      <c r="E491" s="2">
        <v>7073.0</v>
      </c>
      <c r="F491" s="2">
        <v>636.5699999999999</v>
      </c>
      <c r="G491" s="2">
        <v>477.42749999999995</v>
      </c>
      <c r="H491" s="2">
        <v>115.0</v>
      </c>
      <c r="I491" s="2">
        <v>1553.0</v>
      </c>
      <c r="J491" s="2">
        <f t="shared" si="1"/>
        <v>0.75</v>
      </c>
      <c r="K491" s="2">
        <f t="shared" si="2"/>
        <v>0.75</v>
      </c>
      <c r="L491" s="2">
        <f t="shared" si="3"/>
        <v>67.5</v>
      </c>
      <c r="M491" s="2">
        <f t="shared" si="4"/>
        <v>0.1806557017</v>
      </c>
    </row>
    <row r="492" ht="15.75" customHeight="1">
      <c r="A492" s="3">
        <v>44986.0</v>
      </c>
      <c r="B492" s="2" t="s">
        <v>20</v>
      </c>
      <c r="C492" s="2" t="s">
        <v>21</v>
      </c>
      <c r="D492" s="2" t="s">
        <v>18</v>
      </c>
      <c r="E492" s="2">
        <v>2562.0</v>
      </c>
      <c r="F492" s="2">
        <v>230.57999999999998</v>
      </c>
      <c r="G492" s="2">
        <v>191.38139999999999</v>
      </c>
      <c r="H492" s="2">
        <v>30.0</v>
      </c>
      <c r="I492" s="2">
        <v>4669.0</v>
      </c>
      <c r="J492" s="2">
        <f t="shared" si="1"/>
        <v>0.83</v>
      </c>
      <c r="K492" s="2">
        <f t="shared" si="2"/>
        <v>0.83</v>
      </c>
      <c r="L492" s="2">
        <f t="shared" si="3"/>
        <v>74.7</v>
      </c>
      <c r="M492" s="2">
        <f t="shared" si="4"/>
        <v>0.1301066875</v>
      </c>
    </row>
    <row r="493" ht="15.75" customHeight="1">
      <c r="A493" s="3">
        <v>44986.0</v>
      </c>
      <c r="B493" s="2" t="s">
        <v>20</v>
      </c>
      <c r="C493" s="2" t="s">
        <v>23</v>
      </c>
      <c r="D493" s="2" t="s">
        <v>30</v>
      </c>
      <c r="E493" s="2">
        <v>2181.0</v>
      </c>
      <c r="F493" s="2">
        <v>65.42999999999999</v>
      </c>
      <c r="G493" s="2">
        <v>57.578399999999995</v>
      </c>
      <c r="H493" s="2">
        <v>9.0</v>
      </c>
      <c r="I493" s="2">
        <v>983.0</v>
      </c>
      <c r="J493" s="2">
        <f t="shared" si="1"/>
        <v>0.88</v>
      </c>
      <c r="K493" s="2">
        <f t="shared" si="2"/>
        <v>0.88</v>
      </c>
      <c r="L493" s="2">
        <f t="shared" si="3"/>
        <v>26.4</v>
      </c>
      <c r="M493" s="2">
        <f t="shared" si="4"/>
        <v>0.1375515818</v>
      </c>
    </row>
    <row r="494" ht="15.75" customHeight="1">
      <c r="A494" s="3">
        <v>44986.0</v>
      </c>
      <c r="B494" s="2" t="s">
        <v>26</v>
      </c>
      <c r="C494" s="2" t="s">
        <v>27</v>
      </c>
      <c r="D494" s="2" t="s">
        <v>30</v>
      </c>
      <c r="E494" s="2">
        <v>12007.0</v>
      </c>
      <c r="F494" s="2">
        <v>480.28000000000003</v>
      </c>
      <c r="G494" s="2">
        <v>283.3652</v>
      </c>
      <c r="H494" s="2">
        <v>77.0</v>
      </c>
      <c r="I494" s="2">
        <v>4316.0</v>
      </c>
      <c r="J494" s="2">
        <f t="shared" si="1"/>
        <v>0.59</v>
      </c>
      <c r="K494" s="2">
        <f t="shared" si="2"/>
        <v>0.59</v>
      </c>
      <c r="L494" s="2">
        <f t="shared" si="3"/>
        <v>23.6</v>
      </c>
      <c r="M494" s="2">
        <f t="shared" si="4"/>
        <v>0.1603231448</v>
      </c>
    </row>
    <row r="495" ht="15.75" customHeight="1">
      <c r="A495" s="3">
        <v>44986.0</v>
      </c>
      <c r="B495" s="2" t="s">
        <v>26</v>
      </c>
      <c r="C495" s="2" t="s">
        <v>31</v>
      </c>
      <c r="D495" s="2" t="s">
        <v>28</v>
      </c>
      <c r="E495" s="2">
        <v>12224.0</v>
      </c>
      <c r="F495" s="2">
        <v>855.6800000000001</v>
      </c>
      <c r="G495" s="2">
        <v>1035.3728</v>
      </c>
      <c r="H495" s="2">
        <v>68.0</v>
      </c>
      <c r="I495" s="2">
        <v>2434.0</v>
      </c>
      <c r="J495" s="2">
        <f t="shared" si="1"/>
        <v>1.21</v>
      </c>
      <c r="K495" s="2">
        <f t="shared" si="2"/>
        <v>1.21</v>
      </c>
      <c r="L495" s="2">
        <f t="shared" si="3"/>
        <v>84.7</v>
      </c>
      <c r="M495" s="2">
        <f t="shared" si="4"/>
        <v>0.07946896036</v>
      </c>
    </row>
    <row r="496" ht="15.75" customHeight="1">
      <c r="A496" s="3">
        <v>44986.0</v>
      </c>
      <c r="B496" s="2" t="s">
        <v>33</v>
      </c>
      <c r="C496" s="2" t="s">
        <v>34</v>
      </c>
      <c r="D496" s="2" t="s">
        <v>25</v>
      </c>
      <c r="E496" s="2">
        <v>4678.0</v>
      </c>
      <c r="F496" s="2">
        <v>187.12</v>
      </c>
      <c r="G496" s="2">
        <v>0.0</v>
      </c>
      <c r="H496" s="2">
        <v>11.0</v>
      </c>
      <c r="I496" s="2">
        <v>1000.0</v>
      </c>
      <c r="J496" s="2">
        <f t="shared" si="1"/>
        <v>0</v>
      </c>
      <c r="K496" s="2">
        <f t="shared" si="2"/>
        <v>0</v>
      </c>
      <c r="L496" s="2">
        <f t="shared" si="3"/>
        <v>0</v>
      </c>
      <c r="M496" s="2">
        <f t="shared" si="4"/>
        <v>0.0587858059</v>
      </c>
    </row>
    <row r="497" ht="15.75" customHeight="1">
      <c r="A497" s="3">
        <v>44986.0</v>
      </c>
      <c r="B497" s="2" t="s">
        <v>33</v>
      </c>
      <c r="C497" s="2" t="s">
        <v>35</v>
      </c>
      <c r="D497" s="2" t="s">
        <v>18</v>
      </c>
      <c r="E497" s="2">
        <v>3297.0</v>
      </c>
      <c r="F497" s="2">
        <v>131.88</v>
      </c>
      <c r="G497" s="2">
        <v>0.0</v>
      </c>
      <c r="H497" s="2">
        <v>8.0</v>
      </c>
      <c r="I497" s="2">
        <v>1461.0</v>
      </c>
      <c r="J497" s="2">
        <f t="shared" si="1"/>
        <v>0</v>
      </c>
      <c r="K497" s="2">
        <f t="shared" si="2"/>
        <v>0</v>
      </c>
      <c r="L497" s="2">
        <f t="shared" si="3"/>
        <v>0</v>
      </c>
      <c r="M497" s="2">
        <f t="shared" si="4"/>
        <v>0.06066120716</v>
      </c>
    </row>
    <row r="498" ht="15.75" customHeight="1">
      <c r="A498" s="3">
        <v>44987.0</v>
      </c>
      <c r="B498" s="2" t="s">
        <v>14</v>
      </c>
      <c r="C498" s="2" t="s">
        <v>15</v>
      </c>
      <c r="D498" s="2" t="s">
        <v>13</v>
      </c>
      <c r="E498" s="2">
        <v>6315.0</v>
      </c>
      <c r="F498" s="2">
        <v>378.9</v>
      </c>
      <c r="G498" s="2">
        <v>443.31299999999993</v>
      </c>
      <c r="H498" s="2">
        <v>72.0</v>
      </c>
      <c r="I498" s="2">
        <v>4706.0</v>
      </c>
      <c r="J498" s="2">
        <f t="shared" si="1"/>
        <v>1.17</v>
      </c>
      <c r="K498" s="2">
        <f t="shared" si="2"/>
        <v>1.17</v>
      </c>
      <c r="L498" s="2">
        <f t="shared" si="3"/>
        <v>70.2</v>
      </c>
      <c r="M498" s="2">
        <f t="shared" si="4"/>
        <v>0.190023753</v>
      </c>
    </row>
    <row r="499" ht="15.75" customHeight="1">
      <c r="A499" s="3">
        <v>44987.0</v>
      </c>
      <c r="B499" s="2" t="s">
        <v>14</v>
      </c>
      <c r="C499" s="2" t="s">
        <v>17</v>
      </c>
      <c r="D499" s="2" t="s">
        <v>32</v>
      </c>
      <c r="E499" s="2">
        <v>8902.0</v>
      </c>
      <c r="F499" s="2">
        <v>890.2</v>
      </c>
      <c r="G499" s="2">
        <v>899.1020000000001</v>
      </c>
      <c r="H499" s="2">
        <v>80.0</v>
      </c>
      <c r="I499" s="2">
        <v>193.0</v>
      </c>
      <c r="J499" s="2">
        <f t="shared" si="1"/>
        <v>1.01</v>
      </c>
      <c r="K499" s="2">
        <f t="shared" si="2"/>
        <v>1.01</v>
      </c>
      <c r="L499" s="2">
        <f t="shared" si="3"/>
        <v>101</v>
      </c>
      <c r="M499" s="2">
        <f t="shared" si="4"/>
        <v>0.08986744552</v>
      </c>
    </row>
    <row r="500" ht="15.75" customHeight="1">
      <c r="A500" s="3">
        <v>44987.0</v>
      </c>
      <c r="B500" s="2" t="s">
        <v>20</v>
      </c>
      <c r="C500" s="2" t="s">
        <v>21</v>
      </c>
      <c r="D500" s="2" t="s">
        <v>25</v>
      </c>
      <c r="E500" s="2">
        <v>2876.0</v>
      </c>
      <c r="F500" s="2">
        <v>86.28</v>
      </c>
      <c r="G500" s="2">
        <v>48.31680000000001</v>
      </c>
      <c r="H500" s="2">
        <v>16.0</v>
      </c>
      <c r="I500" s="2">
        <v>4905.0</v>
      </c>
      <c r="J500" s="2">
        <f t="shared" si="1"/>
        <v>0.56</v>
      </c>
      <c r="K500" s="2">
        <f t="shared" si="2"/>
        <v>0.56</v>
      </c>
      <c r="L500" s="2">
        <f t="shared" si="3"/>
        <v>16.8</v>
      </c>
      <c r="M500" s="2">
        <f t="shared" si="4"/>
        <v>0.1854427446</v>
      </c>
    </row>
    <row r="501" ht="15.75" customHeight="1">
      <c r="A501" s="3">
        <v>44987.0</v>
      </c>
      <c r="B501" s="2" t="s">
        <v>20</v>
      </c>
      <c r="C501" s="2" t="s">
        <v>23</v>
      </c>
      <c r="D501" s="2" t="s">
        <v>32</v>
      </c>
      <c r="E501" s="2">
        <v>2795.0</v>
      </c>
      <c r="F501" s="2">
        <v>251.54999999999998</v>
      </c>
      <c r="G501" s="2">
        <v>135.837</v>
      </c>
      <c r="H501" s="2">
        <v>20.0</v>
      </c>
      <c r="I501" s="2">
        <v>4905.0</v>
      </c>
      <c r="J501" s="2">
        <f t="shared" si="1"/>
        <v>0.54</v>
      </c>
      <c r="K501" s="2">
        <f t="shared" si="2"/>
        <v>0.54</v>
      </c>
      <c r="L501" s="2">
        <f t="shared" si="3"/>
        <v>48.6</v>
      </c>
      <c r="M501" s="2">
        <f t="shared" si="4"/>
        <v>0.07950705625</v>
      </c>
    </row>
    <row r="502" ht="15.75" customHeight="1">
      <c r="A502" s="3">
        <v>44987.0</v>
      </c>
      <c r="B502" s="2" t="s">
        <v>26</v>
      </c>
      <c r="C502" s="2" t="s">
        <v>27</v>
      </c>
      <c r="D502" s="2" t="s">
        <v>16</v>
      </c>
      <c r="E502" s="2">
        <v>14157.0</v>
      </c>
      <c r="F502" s="2">
        <v>566.28</v>
      </c>
      <c r="G502" s="2">
        <v>889.0596</v>
      </c>
      <c r="H502" s="2">
        <v>40.0</v>
      </c>
      <c r="I502" s="2">
        <v>2877.0</v>
      </c>
      <c r="J502" s="2">
        <f t="shared" si="1"/>
        <v>1.57</v>
      </c>
      <c r="K502" s="2">
        <f t="shared" si="2"/>
        <v>1.57</v>
      </c>
      <c r="L502" s="2">
        <f t="shared" si="3"/>
        <v>62.8</v>
      </c>
      <c r="M502" s="2">
        <f t="shared" si="4"/>
        <v>0.07063643427</v>
      </c>
    </row>
    <row r="503" ht="15.75" customHeight="1">
      <c r="A503" s="3">
        <v>44987.0</v>
      </c>
      <c r="B503" s="2" t="s">
        <v>26</v>
      </c>
      <c r="C503" s="2" t="s">
        <v>31</v>
      </c>
      <c r="D503" s="2" t="s">
        <v>19</v>
      </c>
      <c r="E503" s="2">
        <v>11197.0</v>
      </c>
      <c r="F503" s="2">
        <v>783.7900000000001</v>
      </c>
      <c r="G503" s="2">
        <v>564.3288</v>
      </c>
      <c r="H503" s="2">
        <v>141.0</v>
      </c>
      <c r="I503" s="2">
        <v>1969.0</v>
      </c>
      <c r="J503" s="2">
        <f t="shared" si="1"/>
        <v>0.72</v>
      </c>
      <c r="K503" s="2">
        <f t="shared" si="2"/>
        <v>0.72</v>
      </c>
      <c r="L503" s="2">
        <f t="shared" si="3"/>
        <v>50.4</v>
      </c>
      <c r="M503" s="2">
        <f t="shared" si="4"/>
        <v>0.179895125</v>
      </c>
    </row>
    <row r="504" ht="15.75" customHeight="1">
      <c r="A504" s="3">
        <v>44987.0</v>
      </c>
      <c r="B504" s="2" t="s">
        <v>33</v>
      </c>
      <c r="C504" s="2" t="s">
        <v>34</v>
      </c>
      <c r="D504" s="2" t="s">
        <v>16</v>
      </c>
      <c r="E504" s="2">
        <v>2857.0</v>
      </c>
      <c r="F504" s="2">
        <v>171.42</v>
      </c>
      <c r="G504" s="2">
        <v>0.0</v>
      </c>
      <c r="H504" s="2">
        <v>17.0</v>
      </c>
      <c r="I504" s="2">
        <v>4663.0</v>
      </c>
      <c r="J504" s="2">
        <f t="shared" si="1"/>
        <v>0</v>
      </c>
      <c r="K504" s="2">
        <f t="shared" si="2"/>
        <v>0</v>
      </c>
      <c r="L504" s="2">
        <f t="shared" si="3"/>
        <v>0</v>
      </c>
      <c r="M504" s="2">
        <f t="shared" si="4"/>
        <v>0.09917162525</v>
      </c>
    </row>
    <row r="505" ht="15.75" customHeight="1">
      <c r="A505" s="3">
        <v>44987.0</v>
      </c>
      <c r="B505" s="2" t="s">
        <v>33</v>
      </c>
      <c r="C505" s="2" t="s">
        <v>35</v>
      </c>
      <c r="D505" s="2" t="s">
        <v>18</v>
      </c>
      <c r="E505" s="2">
        <v>5160.0</v>
      </c>
      <c r="F505" s="2">
        <v>464.4</v>
      </c>
      <c r="G505" s="2">
        <v>0.0</v>
      </c>
      <c r="H505" s="2">
        <v>70.0</v>
      </c>
      <c r="I505" s="2">
        <v>1430.0</v>
      </c>
      <c r="J505" s="2">
        <f t="shared" si="1"/>
        <v>0</v>
      </c>
      <c r="K505" s="2">
        <f t="shared" si="2"/>
        <v>0</v>
      </c>
      <c r="L505" s="2">
        <f t="shared" si="3"/>
        <v>0</v>
      </c>
      <c r="M505" s="2">
        <f t="shared" si="4"/>
        <v>0.1507321275</v>
      </c>
    </row>
    <row r="506" ht="15.75" customHeight="1">
      <c r="A506" s="3">
        <v>44988.0</v>
      </c>
      <c r="B506" s="2" t="s">
        <v>14</v>
      </c>
      <c r="C506" s="2" t="s">
        <v>15</v>
      </c>
      <c r="D506" s="2" t="s">
        <v>28</v>
      </c>
      <c r="E506" s="2">
        <v>8014.0</v>
      </c>
      <c r="F506" s="2">
        <v>721.26</v>
      </c>
      <c r="G506" s="2">
        <v>295.71659999999997</v>
      </c>
      <c r="H506" s="2">
        <v>115.0</v>
      </c>
      <c r="I506" s="2">
        <v>3785.0</v>
      </c>
      <c r="J506" s="2">
        <f t="shared" si="1"/>
        <v>0.41</v>
      </c>
      <c r="K506" s="2">
        <f t="shared" si="2"/>
        <v>0.41</v>
      </c>
      <c r="L506" s="2">
        <f t="shared" si="3"/>
        <v>36.9</v>
      </c>
      <c r="M506" s="2">
        <f t="shared" si="4"/>
        <v>0.1594431966</v>
      </c>
    </row>
    <row r="507" ht="15.75" customHeight="1">
      <c r="A507" s="3">
        <v>44988.0</v>
      </c>
      <c r="B507" s="2" t="s">
        <v>14</v>
      </c>
      <c r="C507" s="2" t="s">
        <v>17</v>
      </c>
      <c r="D507" s="2" t="s">
        <v>18</v>
      </c>
      <c r="E507" s="2">
        <v>7808.0</v>
      </c>
      <c r="F507" s="2">
        <v>156.16</v>
      </c>
      <c r="G507" s="2">
        <v>301.3888</v>
      </c>
      <c r="H507" s="2">
        <v>14.0</v>
      </c>
      <c r="I507" s="2">
        <v>3546.0</v>
      </c>
      <c r="J507" s="2">
        <f t="shared" si="1"/>
        <v>1.93</v>
      </c>
      <c r="K507" s="2">
        <f t="shared" si="2"/>
        <v>1.93</v>
      </c>
      <c r="L507" s="2">
        <f t="shared" si="3"/>
        <v>38.6</v>
      </c>
      <c r="M507" s="2">
        <f t="shared" si="4"/>
        <v>0.08965163934</v>
      </c>
    </row>
    <row r="508" ht="15.75" customHeight="1">
      <c r="A508" s="3">
        <v>44988.0</v>
      </c>
      <c r="B508" s="2" t="s">
        <v>20</v>
      </c>
      <c r="C508" s="2" t="s">
        <v>21</v>
      </c>
      <c r="D508" s="2" t="s">
        <v>19</v>
      </c>
      <c r="E508" s="2">
        <v>5665.0</v>
      </c>
      <c r="F508" s="2">
        <v>566.5</v>
      </c>
      <c r="G508" s="2">
        <v>1019.7</v>
      </c>
      <c r="H508" s="2">
        <v>85.0</v>
      </c>
      <c r="I508" s="2">
        <v>4492.0</v>
      </c>
      <c r="J508" s="2">
        <f t="shared" si="1"/>
        <v>1.8</v>
      </c>
      <c r="K508" s="2">
        <f t="shared" si="2"/>
        <v>1.8</v>
      </c>
      <c r="L508" s="2">
        <f t="shared" si="3"/>
        <v>180</v>
      </c>
      <c r="M508" s="2">
        <f t="shared" si="4"/>
        <v>0.1500441306</v>
      </c>
    </row>
    <row r="509" ht="15.75" customHeight="1">
      <c r="A509" s="3">
        <v>44988.0</v>
      </c>
      <c r="B509" s="2" t="s">
        <v>20</v>
      </c>
      <c r="C509" s="2" t="s">
        <v>23</v>
      </c>
      <c r="D509" s="2" t="s">
        <v>13</v>
      </c>
      <c r="E509" s="2">
        <v>3632.0</v>
      </c>
      <c r="F509" s="2">
        <v>254.24000000000004</v>
      </c>
      <c r="G509" s="2">
        <v>381.36000000000007</v>
      </c>
      <c r="H509" s="2">
        <v>25.0</v>
      </c>
      <c r="I509" s="2">
        <v>1625.0</v>
      </c>
      <c r="J509" s="2">
        <f t="shared" si="1"/>
        <v>1.5</v>
      </c>
      <c r="K509" s="2">
        <f t="shared" si="2"/>
        <v>1.5</v>
      </c>
      <c r="L509" s="2">
        <f t="shared" si="3"/>
        <v>105</v>
      </c>
      <c r="M509" s="2">
        <f t="shared" si="4"/>
        <v>0.09833228446</v>
      </c>
    </row>
    <row r="510" ht="15.75" customHeight="1">
      <c r="A510" s="3">
        <v>44988.0</v>
      </c>
      <c r="B510" s="2" t="s">
        <v>26</v>
      </c>
      <c r="C510" s="2" t="s">
        <v>27</v>
      </c>
      <c r="D510" s="2" t="s">
        <v>16</v>
      </c>
      <c r="E510" s="2">
        <v>9174.0</v>
      </c>
      <c r="F510" s="2">
        <v>733.92</v>
      </c>
      <c r="G510" s="2">
        <v>998.1312</v>
      </c>
      <c r="H510" s="2">
        <v>110.0</v>
      </c>
      <c r="I510" s="2">
        <v>384.0</v>
      </c>
      <c r="J510" s="2">
        <f t="shared" si="1"/>
        <v>1.36</v>
      </c>
      <c r="K510" s="2">
        <f t="shared" si="2"/>
        <v>1.36</v>
      </c>
      <c r="L510" s="2">
        <f t="shared" si="3"/>
        <v>108.8</v>
      </c>
      <c r="M510" s="2">
        <f t="shared" si="4"/>
        <v>0.1498800959</v>
      </c>
    </row>
    <row r="511" ht="15.75" customHeight="1">
      <c r="A511" s="3">
        <v>44988.0</v>
      </c>
      <c r="B511" s="2" t="s">
        <v>26</v>
      </c>
      <c r="C511" s="2" t="s">
        <v>31</v>
      </c>
      <c r="D511" s="2" t="s">
        <v>19</v>
      </c>
      <c r="E511" s="2">
        <v>10511.0</v>
      </c>
      <c r="F511" s="2">
        <v>315.33</v>
      </c>
      <c r="G511" s="2">
        <v>277.49039999999997</v>
      </c>
      <c r="H511" s="2">
        <v>60.0</v>
      </c>
      <c r="I511" s="2">
        <v>3330.0</v>
      </c>
      <c r="J511" s="2">
        <f t="shared" si="1"/>
        <v>0.88</v>
      </c>
      <c r="K511" s="2">
        <f t="shared" si="2"/>
        <v>0.88</v>
      </c>
      <c r="L511" s="2">
        <f t="shared" si="3"/>
        <v>26.4</v>
      </c>
      <c r="M511" s="2">
        <f t="shared" si="4"/>
        <v>0.1902768528</v>
      </c>
    </row>
    <row r="512" ht="15.75" customHeight="1">
      <c r="A512" s="3">
        <v>44988.0</v>
      </c>
      <c r="B512" s="2" t="s">
        <v>33</v>
      </c>
      <c r="C512" s="2" t="s">
        <v>34</v>
      </c>
      <c r="D512" s="2" t="s">
        <v>19</v>
      </c>
      <c r="E512" s="2">
        <v>2758.0</v>
      </c>
      <c r="F512" s="2">
        <v>220.64000000000001</v>
      </c>
      <c r="G512" s="2">
        <v>0.0</v>
      </c>
      <c r="H512" s="2">
        <v>26.0</v>
      </c>
      <c r="I512" s="2">
        <v>3647.0</v>
      </c>
      <c r="J512" s="2">
        <f t="shared" si="1"/>
        <v>0</v>
      </c>
      <c r="K512" s="2">
        <f t="shared" si="2"/>
        <v>0</v>
      </c>
      <c r="L512" s="2">
        <f t="shared" si="3"/>
        <v>0</v>
      </c>
      <c r="M512" s="2">
        <f t="shared" si="4"/>
        <v>0.1178390138</v>
      </c>
    </row>
    <row r="513" ht="15.75" customHeight="1">
      <c r="A513" s="3">
        <v>44988.0</v>
      </c>
      <c r="B513" s="2" t="s">
        <v>33</v>
      </c>
      <c r="C513" s="2" t="s">
        <v>35</v>
      </c>
      <c r="D513" s="2" t="s">
        <v>18</v>
      </c>
      <c r="E513" s="2">
        <v>3216.0</v>
      </c>
      <c r="F513" s="2">
        <v>160.8</v>
      </c>
      <c r="G513" s="2">
        <v>0.0</v>
      </c>
      <c r="H513" s="2">
        <v>10.0</v>
      </c>
      <c r="I513" s="2">
        <v>4999.0</v>
      </c>
      <c r="J513" s="2">
        <f t="shared" si="1"/>
        <v>0</v>
      </c>
      <c r="K513" s="2">
        <f t="shared" si="2"/>
        <v>0</v>
      </c>
      <c r="L513" s="2">
        <f t="shared" si="3"/>
        <v>0</v>
      </c>
      <c r="M513" s="2">
        <f t="shared" si="4"/>
        <v>0.06218905473</v>
      </c>
    </row>
    <row r="514" ht="15.75" customHeight="1">
      <c r="A514" s="3">
        <v>44989.0</v>
      </c>
      <c r="B514" s="2" t="s">
        <v>14</v>
      </c>
      <c r="C514" s="2" t="s">
        <v>15</v>
      </c>
      <c r="D514" s="2" t="s">
        <v>16</v>
      </c>
      <c r="E514" s="2">
        <v>7521.0</v>
      </c>
      <c r="F514" s="2">
        <v>225.63</v>
      </c>
      <c r="G514" s="2">
        <v>67.689</v>
      </c>
      <c r="H514" s="2">
        <v>18.0</v>
      </c>
      <c r="I514" s="2">
        <v>4695.0</v>
      </c>
      <c r="J514" s="2">
        <f t="shared" si="1"/>
        <v>0.3</v>
      </c>
      <c r="K514" s="2">
        <f t="shared" si="2"/>
        <v>0.3</v>
      </c>
      <c r="L514" s="2">
        <f t="shared" si="3"/>
        <v>9</v>
      </c>
      <c r="M514" s="2">
        <f t="shared" si="4"/>
        <v>0.07977662545</v>
      </c>
    </row>
    <row r="515" ht="15.75" customHeight="1">
      <c r="A515" s="3">
        <v>44989.0</v>
      </c>
      <c r="B515" s="2" t="s">
        <v>14</v>
      </c>
      <c r="C515" s="2" t="s">
        <v>17</v>
      </c>
      <c r="D515" s="2" t="s">
        <v>28</v>
      </c>
      <c r="E515" s="2">
        <v>8612.0</v>
      </c>
      <c r="F515" s="2">
        <v>430.6</v>
      </c>
      <c r="G515" s="2">
        <v>598.534</v>
      </c>
      <c r="H515" s="2">
        <v>30.0</v>
      </c>
      <c r="I515" s="2">
        <v>4444.0</v>
      </c>
      <c r="J515" s="2">
        <f t="shared" si="1"/>
        <v>1.39</v>
      </c>
      <c r="K515" s="2">
        <f t="shared" si="2"/>
        <v>1.39</v>
      </c>
      <c r="L515" s="2">
        <f t="shared" si="3"/>
        <v>69.5</v>
      </c>
      <c r="M515" s="2">
        <f t="shared" si="4"/>
        <v>0.06967022759</v>
      </c>
    </row>
    <row r="516" ht="15.75" customHeight="1">
      <c r="A516" s="3">
        <v>44989.0</v>
      </c>
      <c r="B516" s="2" t="s">
        <v>20</v>
      </c>
      <c r="C516" s="2" t="s">
        <v>21</v>
      </c>
      <c r="D516" s="2" t="s">
        <v>24</v>
      </c>
      <c r="E516" s="2">
        <v>4724.0</v>
      </c>
      <c r="F516" s="2">
        <v>188.96</v>
      </c>
      <c r="G516" s="2">
        <v>143.6096</v>
      </c>
      <c r="H516" s="2">
        <v>36.0</v>
      </c>
      <c r="I516" s="2">
        <v>1841.0</v>
      </c>
      <c r="J516" s="2">
        <f t="shared" si="1"/>
        <v>0.76</v>
      </c>
      <c r="K516" s="2">
        <f t="shared" si="2"/>
        <v>0.76</v>
      </c>
      <c r="L516" s="2">
        <f t="shared" si="3"/>
        <v>30.4</v>
      </c>
      <c r="M516" s="2">
        <f t="shared" si="4"/>
        <v>0.1905165114</v>
      </c>
    </row>
    <row r="517" ht="15.75" customHeight="1">
      <c r="A517" s="3">
        <v>44989.0</v>
      </c>
      <c r="B517" s="2" t="s">
        <v>20</v>
      </c>
      <c r="C517" s="2" t="s">
        <v>23</v>
      </c>
      <c r="D517" s="2" t="s">
        <v>22</v>
      </c>
      <c r="E517" s="2">
        <v>2445.0</v>
      </c>
      <c r="F517" s="2">
        <v>171.15</v>
      </c>
      <c r="G517" s="2">
        <v>80.4405</v>
      </c>
      <c r="H517" s="2">
        <v>10.0</v>
      </c>
      <c r="I517" s="2">
        <v>4611.0</v>
      </c>
      <c r="J517" s="2">
        <f t="shared" si="1"/>
        <v>0.47</v>
      </c>
      <c r="K517" s="2">
        <f t="shared" si="2"/>
        <v>0.47</v>
      </c>
      <c r="L517" s="2">
        <f t="shared" si="3"/>
        <v>32.9</v>
      </c>
      <c r="M517" s="2">
        <f t="shared" si="4"/>
        <v>0.05842827929</v>
      </c>
    </row>
    <row r="518" ht="15.75" customHeight="1">
      <c r="A518" s="3">
        <v>44989.0</v>
      </c>
      <c r="B518" s="2" t="s">
        <v>26</v>
      </c>
      <c r="C518" s="2" t="s">
        <v>27</v>
      </c>
      <c r="D518" s="2" t="s">
        <v>18</v>
      </c>
      <c r="E518" s="2">
        <v>13805.0</v>
      </c>
      <c r="F518" s="2">
        <v>276.1</v>
      </c>
      <c r="G518" s="2">
        <v>458.326</v>
      </c>
      <c r="H518" s="2">
        <v>28.0</v>
      </c>
      <c r="I518" s="2">
        <v>1722.0</v>
      </c>
      <c r="J518" s="2">
        <f t="shared" si="1"/>
        <v>1.66</v>
      </c>
      <c r="K518" s="2">
        <f t="shared" si="2"/>
        <v>1.66</v>
      </c>
      <c r="L518" s="2">
        <f t="shared" si="3"/>
        <v>33.2</v>
      </c>
      <c r="M518" s="2">
        <f t="shared" si="4"/>
        <v>0.1014125317</v>
      </c>
    </row>
    <row r="519" ht="15.75" customHeight="1">
      <c r="A519" s="3">
        <v>44989.0</v>
      </c>
      <c r="B519" s="2" t="s">
        <v>26</v>
      </c>
      <c r="C519" s="2" t="s">
        <v>31</v>
      </c>
      <c r="D519" s="2" t="s">
        <v>13</v>
      </c>
      <c r="E519" s="2">
        <v>14399.0</v>
      </c>
      <c r="F519" s="2">
        <v>287.98</v>
      </c>
      <c r="G519" s="2">
        <v>192.94660000000002</v>
      </c>
      <c r="H519" s="2">
        <v>17.0</v>
      </c>
      <c r="I519" s="2">
        <v>1041.0</v>
      </c>
      <c r="J519" s="2">
        <f t="shared" si="1"/>
        <v>0.67</v>
      </c>
      <c r="K519" s="2">
        <f t="shared" si="2"/>
        <v>0.67</v>
      </c>
      <c r="L519" s="2">
        <f t="shared" si="3"/>
        <v>13.4</v>
      </c>
      <c r="M519" s="2">
        <f t="shared" si="4"/>
        <v>0.05903187721</v>
      </c>
    </row>
    <row r="520" ht="15.75" customHeight="1">
      <c r="A520" s="3">
        <v>44989.0</v>
      </c>
      <c r="B520" s="2" t="s">
        <v>33</v>
      </c>
      <c r="C520" s="2" t="s">
        <v>34</v>
      </c>
      <c r="D520" s="2" t="s">
        <v>30</v>
      </c>
      <c r="E520" s="2">
        <v>5630.0</v>
      </c>
      <c r="F520" s="2">
        <v>506.7</v>
      </c>
      <c r="G520" s="2">
        <v>0.0</v>
      </c>
      <c r="H520" s="2">
        <v>91.0</v>
      </c>
      <c r="I520" s="2">
        <v>4735.0</v>
      </c>
      <c r="J520" s="2">
        <f t="shared" si="1"/>
        <v>0</v>
      </c>
      <c r="K520" s="2">
        <f t="shared" si="2"/>
        <v>0</v>
      </c>
      <c r="L520" s="2">
        <f t="shared" si="3"/>
        <v>0</v>
      </c>
      <c r="M520" s="2">
        <f t="shared" si="4"/>
        <v>0.1795934478</v>
      </c>
    </row>
    <row r="521" ht="15.75" customHeight="1">
      <c r="A521" s="3">
        <v>44989.0</v>
      </c>
      <c r="B521" s="2" t="s">
        <v>33</v>
      </c>
      <c r="C521" s="2" t="s">
        <v>35</v>
      </c>
      <c r="D521" s="2" t="s">
        <v>16</v>
      </c>
      <c r="E521" s="2">
        <v>3047.0</v>
      </c>
      <c r="F521" s="2">
        <v>304.7</v>
      </c>
      <c r="G521" s="2">
        <v>0.0</v>
      </c>
      <c r="H521" s="2">
        <v>52.0</v>
      </c>
      <c r="I521" s="2">
        <v>1067.0</v>
      </c>
      <c r="J521" s="2">
        <f t="shared" si="1"/>
        <v>0</v>
      </c>
      <c r="K521" s="2">
        <f t="shared" si="2"/>
        <v>0</v>
      </c>
      <c r="L521" s="2">
        <f t="shared" si="3"/>
        <v>0</v>
      </c>
      <c r="M521" s="2">
        <f t="shared" si="4"/>
        <v>0.1706596652</v>
      </c>
    </row>
    <row r="522" ht="15.75" customHeight="1">
      <c r="A522" s="3">
        <v>44990.0</v>
      </c>
      <c r="B522" s="2" t="s">
        <v>14</v>
      </c>
      <c r="C522" s="2" t="s">
        <v>15</v>
      </c>
      <c r="D522" s="2" t="s">
        <v>13</v>
      </c>
      <c r="E522" s="2">
        <v>9933.0</v>
      </c>
      <c r="F522" s="2">
        <v>595.98</v>
      </c>
      <c r="G522" s="2">
        <v>202.63320000000002</v>
      </c>
      <c r="H522" s="2">
        <v>72.0</v>
      </c>
      <c r="I522" s="2">
        <v>912.0</v>
      </c>
      <c r="J522" s="2">
        <f t="shared" si="1"/>
        <v>0.34</v>
      </c>
      <c r="K522" s="2">
        <f t="shared" si="2"/>
        <v>0.34</v>
      </c>
      <c r="L522" s="2">
        <f t="shared" si="3"/>
        <v>20.4</v>
      </c>
      <c r="M522" s="2">
        <f t="shared" si="4"/>
        <v>0.1208094231</v>
      </c>
    </row>
    <row r="523" ht="15.75" customHeight="1">
      <c r="A523" s="3">
        <v>44990.0</v>
      </c>
      <c r="B523" s="2" t="s">
        <v>14</v>
      </c>
      <c r="C523" s="2" t="s">
        <v>17</v>
      </c>
      <c r="D523" s="2" t="s">
        <v>16</v>
      </c>
      <c r="E523" s="2">
        <v>5419.0</v>
      </c>
      <c r="F523" s="2">
        <v>216.76</v>
      </c>
      <c r="G523" s="2">
        <v>86.70400000000001</v>
      </c>
      <c r="H523" s="2">
        <v>20.0</v>
      </c>
      <c r="I523" s="2">
        <v>3505.0</v>
      </c>
      <c r="J523" s="2">
        <f t="shared" si="1"/>
        <v>0.4</v>
      </c>
      <c r="K523" s="2">
        <f t="shared" si="2"/>
        <v>0.4</v>
      </c>
      <c r="L523" s="2">
        <f t="shared" si="3"/>
        <v>16</v>
      </c>
      <c r="M523" s="2">
        <f t="shared" si="4"/>
        <v>0.09226794612</v>
      </c>
    </row>
    <row r="524" ht="15.75" customHeight="1">
      <c r="A524" s="3">
        <v>44990.0</v>
      </c>
      <c r="B524" s="2" t="s">
        <v>20</v>
      </c>
      <c r="C524" s="2" t="s">
        <v>21</v>
      </c>
      <c r="D524" s="2" t="s">
        <v>13</v>
      </c>
      <c r="E524" s="2">
        <v>5136.0</v>
      </c>
      <c r="F524" s="2">
        <v>102.72</v>
      </c>
      <c r="G524" s="2">
        <v>138.672</v>
      </c>
      <c r="H524" s="2">
        <v>9.0</v>
      </c>
      <c r="I524" s="2">
        <v>347.0</v>
      </c>
      <c r="J524" s="2">
        <f t="shared" si="1"/>
        <v>1.35</v>
      </c>
      <c r="K524" s="2">
        <f t="shared" si="2"/>
        <v>1.35</v>
      </c>
      <c r="L524" s="2">
        <f t="shared" si="3"/>
        <v>27</v>
      </c>
      <c r="M524" s="2">
        <f t="shared" si="4"/>
        <v>0.08761682243</v>
      </c>
    </row>
    <row r="525" ht="15.75" customHeight="1">
      <c r="A525" s="3">
        <v>44990.0</v>
      </c>
      <c r="B525" s="2" t="s">
        <v>20</v>
      </c>
      <c r="C525" s="2" t="s">
        <v>23</v>
      </c>
      <c r="D525" s="2" t="s">
        <v>18</v>
      </c>
      <c r="E525" s="2">
        <v>3522.0</v>
      </c>
      <c r="F525" s="2">
        <v>140.88</v>
      </c>
      <c r="G525" s="2">
        <v>184.5528</v>
      </c>
      <c r="H525" s="2">
        <v>25.0</v>
      </c>
      <c r="I525" s="2">
        <v>4905.0</v>
      </c>
      <c r="J525" s="2">
        <f t="shared" si="1"/>
        <v>1.31</v>
      </c>
      <c r="K525" s="2">
        <f t="shared" si="2"/>
        <v>1.31</v>
      </c>
      <c r="L525" s="2">
        <f t="shared" si="3"/>
        <v>52.4</v>
      </c>
      <c r="M525" s="2">
        <f t="shared" si="4"/>
        <v>0.1774559909</v>
      </c>
    </row>
    <row r="526" ht="15.75" customHeight="1">
      <c r="A526" s="3">
        <v>44990.0</v>
      </c>
      <c r="B526" s="2" t="s">
        <v>26</v>
      </c>
      <c r="C526" s="2" t="s">
        <v>27</v>
      </c>
      <c r="D526" s="2" t="s">
        <v>32</v>
      </c>
      <c r="E526" s="2">
        <v>10702.0</v>
      </c>
      <c r="F526" s="2">
        <v>642.12</v>
      </c>
      <c r="G526" s="2">
        <v>1098.0252</v>
      </c>
      <c r="H526" s="2">
        <v>83.0</v>
      </c>
      <c r="I526" s="2">
        <v>121.0</v>
      </c>
      <c r="J526" s="2">
        <f t="shared" si="1"/>
        <v>1.71</v>
      </c>
      <c r="K526" s="2">
        <f t="shared" si="2"/>
        <v>1.71</v>
      </c>
      <c r="L526" s="2">
        <f t="shared" si="3"/>
        <v>102.6</v>
      </c>
      <c r="M526" s="2">
        <f t="shared" si="4"/>
        <v>0.1292593285</v>
      </c>
    </row>
    <row r="527" ht="15.75" customHeight="1">
      <c r="A527" s="3">
        <v>44990.0</v>
      </c>
      <c r="B527" s="2" t="s">
        <v>26</v>
      </c>
      <c r="C527" s="2" t="s">
        <v>31</v>
      </c>
      <c r="D527" s="2" t="s">
        <v>24</v>
      </c>
      <c r="E527" s="2">
        <v>9271.0</v>
      </c>
      <c r="F527" s="2">
        <v>278.13</v>
      </c>
      <c r="G527" s="2">
        <v>381.03810000000004</v>
      </c>
      <c r="H527" s="2">
        <v>42.0</v>
      </c>
      <c r="I527" s="2">
        <v>2226.0</v>
      </c>
      <c r="J527" s="2">
        <f t="shared" si="1"/>
        <v>1.37</v>
      </c>
      <c r="K527" s="2">
        <f t="shared" si="2"/>
        <v>1.37</v>
      </c>
      <c r="L527" s="2">
        <f t="shared" si="3"/>
        <v>41.1</v>
      </c>
      <c r="M527" s="2">
        <f t="shared" si="4"/>
        <v>0.1510085212</v>
      </c>
    </row>
    <row r="528" ht="15.75" customHeight="1">
      <c r="A528" s="3">
        <v>44990.0</v>
      </c>
      <c r="B528" s="2" t="s">
        <v>33</v>
      </c>
      <c r="C528" s="2" t="s">
        <v>34</v>
      </c>
      <c r="D528" s="2" t="s">
        <v>16</v>
      </c>
      <c r="E528" s="2">
        <v>2825.0</v>
      </c>
      <c r="F528" s="2">
        <v>84.75</v>
      </c>
      <c r="G528" s="2">
        <v>0.0</v>
      </c>
      <c r="H528" s="2">
        <v>17.0</v>
      </c>
      <c r="I528" s="2">
        <v>2614.0</v>
      </c>
      <c r="J528" s="2">
        <f t="shared" si="1"/>
        <v>0</v>
      </c>
      <c r="K528" s="2">
        <f t="shared" si="2"/>
        <v>0</v>
      </c>
      <c r="L528" s="2">
        <f t="shared" si="3"/>
        <v>0</v>
      </c>
      <c r="M528" s="2">
        <f t="shared" si="4"/>
        <v>0.2005899705</v>
      </c>
    </row>
    <row r="529" ht="15.75" customHeight="1">
      <c r="A529" s="3">
        <v>44990.0</v>
      </c>
      <c r="B529" s="2" t="s">
        <v>33</v>
      </c>
      <c r="C529" s="2" t="s">
        <v>35</v>
      </c>
      <c r="D529" s="2" t="s">
        <v>18</v>
      </c>
      <c r="E529" s="2">
        <v>5868.0</v>
      </c>
      <c r="F529" s="2">
        <v>469.44</v>
      </c>
      <c r="G529" s="2">
        <v>0.0</v>
      </c>
      <c r="H529" s="2">
        <v>61.0</v>
      </c>
      <c r="I529" s="2">
        <v>1193.0</v>
      </c>
      <c r="J529" s="2">
        <f t="shared" si="1"/>
        <v>0</v>
      </c>
      <c r="K529" s="2">
        <f t="shared" si="2"/>
        <v>0</v>
      </c>
      <c r="L529" s="2">
        <f t="shared" si="3"/>
        <v>0</v>
      </c>
      <c r="M529" s="2">
        <f t="shared" si="4"/>
        <v>0.1299420586</v>
      </c>
    </row>
    <row r="530" ht="15.75" customHeight="1">
      <c r="A530" s="3">
        <v>44991.0</v>
      </c>
      <c r="B530" s="2" t="s">
        <v>14</v>
      </c>
      <c r="C530" s="2" t="s">
        <v>15</v>
      </c>
      <c r="D530" s="2" t="s">
        <v>13</v>
      </c>
      <c r="E530" s="2">
        <v>5271.0</v>
      </c>
      <c r="F530" s="2">
        <v>474.39</v>
      </c>
      <c r="G530" s="2">
        <v>664.146</v>
      </c>
      <c r="H530" s="2">
        <v>52.0</v>
      </c>
      <c r="I530" s="2">
        <v>3985.0</v>
      </c>
      <c r="J530" s="2">
        <f t="shared" si="1"/>
        <v>1.4</v>
      </c>
      <c r="K530" s="2">
        <f t="shared" si="2"/>
        <v>1.4</v>
      </c>
      <c r="L530" s="2">
        <f t="shared" si="3"/>
        <v>126</v>
      </c>
      <c r="M530" s="2">
        <f t="shared" si="4"/>
        <v>0.1096144522</v>
      </c>
    </row>
    <row r="531" ht="15.75" customHeight="1">
      <c r="A531" s="3">
        <v>44991.0</v>
      </c>
      <c r="B531" s="2" t="s">
        <v>14</v>
      </c>
      <c r="C531" s="2" t="s">
        <v>17</v>
      </c>
      <c r="D531" s="2" t="s">
        <v>16</v>
      </c>
      <c r="E531" s="2">
        <v>6599.0</v>
      </c>
      <c r="F531" s="2">
        <v>527.92</v>
      </c>
      <c r="G531" s="2">
        <v>860.5095999999999</v>
      </c>
      <c r="H531" s="2">
        <v>48.0</v>
      </c>
      <c r="I531" s="2">
        <v>404.0</v>
      </c>
      <c r="J531" s="2">
        <f t="shared" si="1"/>
        <v>1.63</v>
      </c>
      <c r="K531" s="2">
        <f t="shared" si="2"/>
        <v>1.63</v>
      </c>
      <c r="L531" s="2">
        <f t="shared" si="3"/>
        <v>130.4</v>
      </c>
      <c r="M531" s="2">
        <f t="shared" si="4"/>
        <v>0.0909228671</v>
      </c>
    </row>
    <row r="532" ht="15.75" customHeight="1">
      <c r="A532" s="3">
        <v>44991.0</v>
      </c>
      <c r="B532" s="2" t="s">
        <v>20</v>
      </c>
      <c r="C532" s="2" t="s">
        <v>21</v>
      </c>
      <c r="D532" s="2" t="s">
        <v>18</v>
      </c>
      <c r="E532" s="2">
        <v>3385.0</v>
      </c>
      <c r="F532" s="2">
        <v>236.95000000000002</v>
      </c>
      <c r="G532" s="2">
        <v>310.40450000000004</v>
      </c>
      <c r="H532" s="2">
        <v>45.0</v>
      </c>
      <c r="I532" s="2">
        <v>4095.0</v>
      </c>
      <c r="J532" s="2">
        <f t="shared" si="1"/>
        <v>1.31</v>
      </c>
      <c r="K532" s="2">
        <f t="shared" si="2"/>
        <v>1.31</v>
      </c>
      <c r="L532" s="2">
        <f t="shared" si="3"/>
        <v>91.7</v>
      </c>
      <c r="M532" s="2">
        <f t="shared" si="4"/>
        <v>0.1899134839</v>
      </c>
    </row>
    <row r="533" ht="15.75" customHeight="1">
      <c r="A533" s="3">
        <v>44991.0</v>
      </c>
      <c r="B533" s="2" t="s">
        <v>20</v>
      </c>
      <c r="C533" s="2" t="s">
        <v>23</v>
      </c>
      <c r="D533" s="2" t="s">
        <v>13</v>
      </c>
      <c r="E533" s="2">
        <v>3739.0</v>
      </c>
      <c r="F533" s="2">
        <v>336.51</v>
      </c>
      <c r="G533" s="2">
        <v>649.4643</v>
      </c>
      <c r="H533" s="2">
        <v>50.0</v>
      </c>
      <c r="I533" s="2">
        <v>687.0</v>
      </c>
      <c r="J533" s="2">
        <f t="shared" si="1"/>
        <v>1.93</v>
      </c>
      <c r="K533" s="2">
        <f t="shared" si="2"/>
        <v>1.93</v>
      </c>
      <c r="L533" s="2">
        <f t="shared" si="3"/>
        <v>173.7</v>
      </c>
      <c r="M533" s="2">
        <f t="shared" si="4"/>
        <v>0.1485839945</v>
      </c>
    </row>
    <row r="534" ht="15.75" customHeight="1">
      <c r="A534" s="3">
        <v>44991.0</v>
      </c>
      <c r="B534" s="2" t="s">
        <v>26</v>
      </c>
      <c r="C534" s="2" t="s">
        <v>27</v>
      </c>
      <c r="D534" s="2" t="s">
        <v>25</v>
      </c>
      <c r="E534" s="2">
        <v>13260.0</v>
      </c>
      <c r="F534" s="2">
        <v>1060.8</v>
      </c>
      <c r="G534" s="2">
        <v>1983.6960000000001</v>
      </c>
      <c r="H534" s="2">
        <v>180.0</v>
      </c>
      <c r="I534" s="2">
        <v>4570.0</v>
      </c>
      <c r="J534" s="2">
        <f t="shared" si="1"/>
        <v>1.87</v>
      </c>
      <c r="K534" s="2">
        <f t="shared" si="2"/>
        <v>1.87</v>
      </c>
      <c r="L534" s="2">
        <f t="shared" si="3"/>
        <v>149.6</v>
      </c>
      <c r="M534" s="2">
        <f t="shared" si="4"/>
        <v>0.1696832579</v>
      </c>
    </row>
    <row r="535" ht="15.75" customHeight="1">
      <c r="A535" s="3">
        <v>44991.0</v>
      </c>
      <c r="B535" s="2" t="s">
        <v>26</v>
      </c>
      <c r="C535" s="2" t="s">
        <v>31</v>
      </c>
      <c r="D535" s="2" t="s">
        <v>30</v>
      </c>
      <c r="E535" s="2">
        <v>8966.0</v>
      </c>
      <c r="F535" s="2">
        <v>806.9399999999999</v>
      </c>
      <c r="G535" s="2">
        <v>1484.7695999999999</v>
      </c>
      <c r="H535" s="2">
        <v>56.0</v>
      </c>
      <c r="I535" s="2">
        <v>2470.0</v>
      </c>
      <c r="J535" s="2">
        <f t="shared" si="1"/>
        <v>1.84</v>
      </c>
      <c r="K535" s="2">
        <f t="shared" si="2"/>
        <v>1.84</v>
      </c>
      <c r="L535" s="2">
        <f t="shared" si="3"/>
        <v>165.6</v>
      </c>
      <c r="M535" s="2">
        <f t="shared" si="4"/>
        <v>0.06939797259</v>
      </c>
    </row>
    <row r="536" ht="15.75" customHeight="1">
      <c r="A536" s="3">
        <v>44991.0</v>
      </c>
      <c r="B536" s="2" t="s">
        <v>33</v>
      </c>
      <c r="C536" s="2" t="s">
        <v>34</v>
      </c>
      <c r="D536" s="2" t="s">
        <v>25</v>
      </c>
      <c r="E536" s="2">
        <v>4435.0</v>
      </c>
      <c r="F536" s="2">
        <v>177.4</v>
      </c>
      <c r="G536" s="2">
        <v>0.0</v>
      </c>
      <c r="H536" s="2">
        <v>27.0</v>
      </c>
      <c r="I536" s="2">
        <v>2799.0</v>
      </c>
      <c r="J536" s="2">
        <f t="shared" si="1"/>
        <v>0</v>
      </c>
      <c r="K536" s="2">
        <f t="shared" si="2"/>
        <v>0</v>
      </c>
      <c r="L536" s="2">
        <f t="shared" si="3"/>
        <v>0</v>
      </c>
      <c r="M536" s="2">
        <f t="shared" si="4"/>
        <v>0.1521984216</v>
      </c>
    </row>
    <row r="537" ht="15.75" customHeight="1">
      <c r="A537" s="3">
        <v>44991.0</v>
      </c>
      <c r="B537" s="2" t="s">
        <v>33</v>
      </c>
      <c r="C537" s="2" t="s">
        <v>35</v>
      </c>
      <c r="D537" s="2" t="s">
        <v>28</v>
      </c>
      <c r="E537" s="2">
        <v>5124.0</v>
      </c>
      <c r="F537" s="2">
        <v>358.68</v>
      </c>
      <c r="G537" s="2">
        <v>0.0</v>
      </c>
      <c r="H537" s="2">
        <v>43.0</v>
      </c>
      <c r="I537" s="2">
        <v>831.0</v>
      </c>
      <c r="J537" s="2">
        <f t="shared" si="1"/>
        <v>0</v>
      </c>
      <c r="K537" s="2">
        <f t="shared" si="2"/>
        <v>0</v>
      </c>
      <c r="L537" s="2">
        <f t="shared" si="3"/>
        <v>0</v>
      </c>
      <c r="M537" s="2">
        <f t="shared" si="4"/>
        <v>0.1198840192</v>
      </c>
    </row>
    <row r="538" ht="15.75" customHeight="1">
      <c r="A538" s="3">
        <v>44992.0</v>
      </c>
      <c r="B538" s="2" t="s">
        <v>14</v>
      </c>
      <c r="C538" s="2" t="s">
        <v>15</v>
      </c>
      <c r="D538" s="2" t="s">
        <v>28</v>
      </c>
      <c r="E538" s="2">
        <v>5644.0</v>
      </c>
      <c r="F538" s="2">
        <v>451.52</v>
      </c>
      <c r="G538" s="2">
        <v>189.6384</v>
      </c>
      <c r="H538" s="2">
        <v>54.0</v>
      </c>
      <c r="I538" s="2">
        <v>4465.0</v>
      </c>
      <c r="J538" s="2">
        <f t="shared" si="1"/>
        <v>0.42</v>
      </c>
      <c r="K538" s="2">
        <f t="shared" si="2"/>
        <v>0.42</v>
      </c>
      <c r="L538" s="2">
        <f t="shared" si="3"/>
        <v>33.6</v>
      </c>
      <c r="M538" s="2">
        <f t="shared" si="4"/>
        <v>0.1195960312</v>
      </c>
    </row>
    <row r="539" ht="15.75" customHeight="1">
      <c r="A539" s="3">
        <v>44992.0</v>
      </c>
      <c r="B539" s="2" t="s">
        <v>14</v>
      </c>
      <c r="C539" s="2" t="s">
        <v>17</v>
      </c>
      <c r="D539" s="2" t="s">
        <v>28</v>
      </c>
      <c r="E539" s="2">
        <v>10171.0</v>
      </c>
      <c r="F539" s="2">
        <v>406.84000000000003</v>
      </c>
      <c r="G539" s="2">
        <v>488.208</v>
      </c>
      <c r="H539" s="2">
        <v>53.0</v>
      </c>
      <c r="I539" s="2">
        <v>4628.0</v>
      </c>
      <c r="J539" s="2">
        <f t="shared" si="1"/>
        <v>1.2</v>
      </c>
      <c r="K539" s="2">
        <f t="shared" si="2"/>
        <v>1.2</v>
      </c>
      <c r="L539" s="2">
        <f t="shared" si="3"/>
        <v>48</v>
      </c>
      <c r="M539" s="2">
        <f t="shared" si="4"/>
        <v>0.1302723429</v>
      </c>
    </row>
    <row r="540" ht="15.75" customHeight="1">
      <c r="A540" s="3">
        <v>44992.0</v>
      </c>
      <c r="B540" s="2" t="s">
        <v>20</v>
      </c>
      <c r="C540" s="2" t="s">
        <v>21</v>
      </c>
      <c r="D540" s="2" t="s">
        <v>30</v>
      </c>
      <c r="E540" s="2">
        <v>5742.0</v>
      </c>
      <c r="F540" s="2">
        <v>401.94000000000005</v>
      </c>
      <c r="G540" s="2">
        <v>739.5696000000002</v>
      </c>
      <c r="H540" s="2">
        <v>68.0</v>
      </c>
      <c r="I540" s="2">
        <v>4613.0</v>
      </c>
      <c r="J540" s="2">
        <f t="shared" si="1"/>
        <v>1.84</v>
      </c>
      <c r="K540" s="2">
        <f t="shared" si="2"/>
        <v>1.84</v>
      </c>
      <c r="L540" s="2">
        <f t="shared" si="3"/>
        <v>128.8</v>
      </c>
      <c r="M540" s="2">
        <f t="shared" si="4"/>
        <v>0.1691794795</v>
      </c>
    </row>
    <row r="541" ht="15.75" customHeight="1">
      <c r="A541" s="3">
        <v>44992.0</v>
      </c>
      <c r="B541" s="2" t="s">
        <v>20</v>
      </c>
      <c r="C541" s="2" t="s">
        <v>23</v>
      </c>
      <c r="D541" s="2" t="s">
        <v>32</v>
      </c>
      <c r="E541" s="2">
        <v>3288.0</v>
      </c>
      <c r="F541" s="2">
        <v>197.28</v>
      </c>
      <c r="G541" s="2">
        <v>394.56</v>
      </c>
      <c r="H541" s="2">
        <v>14.0</v>
      </c>
      <c r="I541" s="2">
        <v>1815.0</v>
      </c>
      <c r="J541" s="2">
        <f t="shared" si="1"/>
        <v>2</v>
      </c>
      <c r="K541" s="2">
        <f t="shared" si="2"/>
        <v>2</v>
      </c>
      <c r="L541" s="2">
        <f t="shared" si="3"/>
        <v>120</v>
      </c>
      <c r="M541" s="2">
        <f t="shared" si="4"/>
        <v>0.07096512571</v>
      </c>
    </row>
    <row r="542" ht="15.75" customHeight="1">
      <c r="A542" s="3">
        <v>44992.0</v>
      </c>
      <c r="B542" s="2" t="s">
        <v>26</v>
      </c>
      <c r="C542" s="2" t="s">
        <v>27</v>
      </c>
      <c r="D542" s="2" t="s">
        <v>32</v>
      </c>
      <c r="E542" s="2">
        <v>11161.0</v>
      </c>
      <c r="F542" s="2">
        <v>669.66</v>
      </c>
      <c r="G542" s="2">
        <v>287.9538</v>
      </c>
      <c r="H542" s="2">
        <v>94.0</v>
      </c>
      <c r="I542" s="2">
        <v>4778.0</v>
      </c>
      <c r="J542" s="2">
        <f t="shared" si="1"/>
        <v>0.43</v>
      </c>
      <c r="K542" s="2">
        <f t="shared" si="2"/>
        <v>0.43</v>
      </c>
      <c r="L542" s="2">
        <f t="shared" si="3"/>
        <v>25.8</v>
      </c>
      <c r="M542" s="2">
        <f t="shared" si="4"/>
        <v>0.1403697399</v>
      </c>
    </row>
    <row r="543" ht="15.75" customHeight="1">
      <c r="A543" s="3">
        <v>44992.0</v>
      </c>
      <c r="B543" s="2" t="s">
        <v>26</v>
      </c>
      <c r="C543" s="2" t="s">
        <v>31</v>
      </c>
      <c r="D543" s="2" t="s">
        <v>19</v>
      </c>
      <c r="E543" s="2">
        <v>11370.0</v>
      </c>
      <c r="F543" s="2">
        <v>909.6</v>
      </c>
      <c r="G543" s="2">
        <v>1027.848</v>
      </c>
      <c r="H543" s="2">
        <v>55.0</v>
      </c>
      <c r="I543" s="2">
        <v>1840.0</v>
      </c>
      <c r="J543" s="2">
        <f t="shared" si="1"/>
        <v>1.13</v>
      </c>
      <c r="K543" s="2">
        <f t="shared" si="2"/>
        <v>1.13</v>
      </c>
      <c r="L543" s="2">
        <f t="shared" si="3"/>
        <v>90.4</v>
      </c>
      <c r="M543" s="2">
        <f t="shared" si="4"/>
        <v>0.06046613896</v>
      </c>
    </row>
    <row r="544" ht="15.75" customHeight="1">
      <c r="A544" s="3">
        <v>44992.0</v>
      </c>
      <c r="B544" s="2" t="s">
        <v>33</v>
      </c>
      <c r="C544" s="2" t="s">
        <v>34</v>
      </c>
      <c r="D544" s="2" t="s">
        <v>13</v>
      </c>
      <c r="E544" s="2">
        <v>5764.0</v>
      </c>
      <c r="F544" s="2">
        <v>576.4</v>
      </c>
      <c r="G544" s="2">
        <v>0.0</v>
      </c>
      <c r="H544" s="2">
        <v>110.0</v>
      </c>
      <c r="I544" s="2">
        <v>3787.0</v>
      </c>
      <c r="J544" s="2">
        <f t="shared" si="1"/>
        <v>0</v>
      </c>
      <c r="K544" s="2">
        <f t="shared" si="2"/>
        <v>0</v>
      </c>
      <c r="L544" s="2">
        <f t="shared" si="3"/>
        <v>0</v>
      </c>
      <c r="M544" s="2">
        <f t="shared" si="4"/>
        <v>0.1908396947</v>
      </c>
    </row>
    <row r="545" ht="15.75" customHeight="1">
      <c r="A545" s="3">
        <v>44992.0</v>
      </c>
      <c r="B545" s="2" t="s">
        <v>33</v>
      </c>
      <c r="C545" s="2" t="s">
        <v>35</v>
      </c>
      <c r="D545" s="2" t="s">
        <v>19</v>
      </c>
      <c r="E545" s="2">
        <v>3977.0</v>
      </c>
      <c r="F545" s="2">
        <v>119.31</v>
      </c>
      <c r="G545" s="2">
        <v>0.0</v>
      </c>
      <c r="H545" s="2">
        <v>8.0</v>
      </c>
      <c r="I545" s="2">
        <v>420.0</v>
      </c>
      <c r="J545" s="2">
        <f t="shared" si="1"/>
        <v>0</v>
      </c>
      <c r="K545" s="2">
        <f t="shared" si="2"/>
        <v>0</v>
      </c>
      <c r="L545" s="2">
        <f t="shared" si="3"/>
        <v>0</v>
      </c>
      <c r="M545" s="2">
        <f t="shared" si="4"/>
        <v>0.06705221691</v>
      </c>
    </row>
    <row r="546" ht="15.75" customHeight="1">
      <c r="A546" s="3">
        <v>44993.0</v>
      </c>
      <c r="B546" s="2" t="s">
        <v>14</v>
      </c>
      <c r="C546" s="2" t="s">
        <v>15</v>
      </c>
      <c r="D546" s="2" t="s">
        <v>32</v>
      </c>
      <c r="E546" s="2">
        <v>9437.0</v>
      </c>
      <c r="F546" s="2">
        <v>566.22</v>
      </c>
      <c r="G546" s="2">
        <v>781.3836</v>
      </c>
      <c r="H546" s="2">
        <v>51.0</v>
      </c>
      <c r="I546" s="2">
        <v>4871.0</v>
      </c>
      <c r="J546" s="2">
        <f t="shared" si="1"/>
        <v>1.38</v>
      </c>
      <c r="K546" s="2">
        <f t="shared" si="2"/>
        <v>1.38</v>
      </c>
      <c r="L546" s="2">
        <f t="shared" si="3"/>
        <v>82.8</v>
      </c>
      <c r="M546" s="2">
        <f t="shared" si="4"/>
        <v>0.09007099714</v>
      </c>
    </row>
    <row r="547" ht="15.75" customHeight="1">
      <c r="A547" s="3">
        <v>44993.0</v>
      </c>
      <c r="B547" s="2" t="s">
        <v>14</v>
      </c>
      <c r="C547" s="2" t="s">
        <v>17</v>
      </c>
      <c r="D547" s="2" t="s">
        <v>25</v>
      </c>
      <c r="E547" s="2">
        <v>8219.0</v>
      </c>
      <c r="F547" s="2">
        <v>821.9000000000001</v>
      </c>
      <c r="G547" s="2">
        <v>1397.23</v>
      </c>
      <c r="H547" s="2">
        <v>58.0</v>
      </c>
      <c r="I547" s="2">
        <v>3332.0</v>
      </c>
      <c r="J547" s="2">
        <f t="shared" si="1"/>
        <v>1.7</v>
      </c>
      <c r="K547" s="2">
        <f t="shared" si="2"/>
        <v>1.7</v>
      </c>
      <c r="L547" s="2">
        <f t="shared" si="3"/>
        <v>170</v>
      </c>
      <c r="M547" s="2">
        <f t="shared" si="4"/>
        <v>0.07056819564</v>
      </c>
    </row>
    <row r="548" ht="15.75" customHeight="1">
      <c r="A548" s="3">
        <v>44993.0</v>
      </c>
      <c r="B548" s="2" t="s">
        <v>20</v>
      </c>
      <c r="C548" s="2" t="s">
        <v>21</v>
      </c>
      <c r="D548" s="2" t="s">
        <v>24</v>
      </c>
      <c r="E548" s="2">
        <v>3820.0</v>
      </c>
      <c r="F548" s="2">
        <v>267.40000000000003</v>
      </c>
      <c r="G548" s="2">
        <v>502.71200000000005</v>
      </c>
      <c r="H548" s="2">
        <v>16.0</v>
      </c>
      <c r="I548" s="2">
        <v>2485.0</v>
      </c>
      <c r="J548" s="2">
        <f t="shared" si="1"/>
        <v>1.88</v>
      </c>
      <c r="K548" s="2">
        <f t="shared" si="2"/>
        <v>1.88</v>
      </c>
      <c r="L548" s="2">
        <f t="shared" si="3"/>
        <v>131.6</v>
      </c>
      <c r="M548" s="2">
        <f t="shared" si="4"/>
        <v>0.05983545251</v>
      </c>
    </row>
    <row r="549" ht="15.75" customHeight="1">
      <c r="A549" s="3">
        <v>44993.0</v>
      </c>
      <c r="B549" s="2" t="s">
        <v>20</v>
      </c>
      <c r="C549" s="2" t="s">
        <v>23</v>
      </c>
      <c r="D549" s="2" t="s">
        <v>13</v>
      </c>
      <c r="E549" s="2">
        <v>2760.0</v>
      </c>
      <c r="F549" s="2">
        <v>276.0</v>
      </c>
      <c r="G549" s="2">
        <v>138.0</v>
      </c>
      <c r="H549" s="2">
        <v>30.0</v>
      </c>
      <c r="I549" s="2">
        <v>1517.0</v>
      </c>
      <c r="J549" s="2">
        <f t="shared" si="1"/>
        <v>0.5</v>
      </c>
      <c r="K549" s="2">
        <f t="shared" si="2"/>
        <v>0.5</v>
      </c>
      <c r="L549" s="2">
        <f t="shared" si="3"/>
        <v>50</v>
      </c>
      <c r="M549" s="2">
        <f t="shared" si="4"/>
        <v>0.1086956522</v>
      </c>
    </row>
    <row r="550" ht="15.75" customHeight="1">
      <c r="A550" s="3">
        <v>44993.0</v>
      </c>
      <c r="B550" s="2" t="s">
        <v>26</v>
      </c>
      <c r="C550" s="2" t="s">
        <v>27</v>
      </c>
      <c r="D550" s="2" t="s">
        <v>32</v>
      </c>
      <c r="E550" s="2">
        <v>11361.0</v>
      </c>
      <c r="F550" s="2">
        <v>681.66</v>
      </c>
      <c r="G550" s="2">
        <v>470.3453999999999</v>
      </c>
      <c r="H550" s="2">
        <v>136.0</v>
      </c>
      <c r="I550" s="2">
        <v>4046.0</v>
      </c>
      <c r="J550" s="2">
        <f t="shared" si="1"/>
        <v>0.69</v>
      </c>
      <c r="K550" s="2">
        <f t="shared" si="2"/>
        <v>0.69</v>
      </c>
      <c r="L550" s="2">
        <f t="shared" si="3"/>
        <v>41.4</v>
      </c>
      <c r="M550" s="2">
        <f t="shared" si="4"/>
        <v>0.1995129537</v>
      </c>
    </row>
    <row r="551" ht="15.75" customHeight="1">
      <c r="A551" s="3">
        <v>44993.0</v>
      </c>
      <c r="B551" s="2" t="s">
        <v>26</v>
      </c>
      <c r="C551" s="2" t="s">
        <v>31</v>
      </c>
      <c r="D551" s="2" t="s">
        <v>22</v>
      </c>
      <c r="E551" s="2">
        <v>10204.0</v>
      </c>
      <c r="F551" s="2">
        <v>612.24</v>
      </c>
      <c r="G551" s="2">
        <v>612.24</v>
      </c>
      <c r="H551" s="2">
        <v>86.0</v>
      </c>
      <c r="I551" s="2">
        <v>2333.0</v>
      </c>
      <c r="J551" s="2">
        <f t="shared" si="1"/>
        <v>1</v>
      </c>
      <c r="K551" s="2">
        <f t="shared" si="2"/>
        <v>1</v>
      </c>
      <c r="L551" s="2">
        <f t="shared" si="3"/>
        <v>60</v>
      </c>
      <c r="M551" s="2">
        <f t="shared" si="4"/>
        <v>0.1404677904</v>
      </c>
    </row>
    <row r="552" ht="15.75" customHeight="1">
      <c r="A552" s="3">
        <v>44993.0</v>
      </c>
      <c r="B552" s="2" t="s">
        <v>33</v>
      </c>
      <c r="C552" s="2" t="s">
        <v>34</v>
      </c>
      <c r="D552" s="2" t="s">
        <v>32</v>
      </c>
      <c r="E552" s="2">
        <v>4310.0</v>
      </c>
      <c r="F552" s="2">
        <v>172.4</v>
      </c>
      <c r="G552" s="2">
        <v>0.0</v>
      </c>
      <c r="H552" s="2">
        <v>29.0</v>
      </c>
      <c r="I552" s="2">
        <v>278.0</v>
      </c>
      <c r="J552" s="2">
        <f t="shared" si="1"/>
        <v>0</v>
      </c>
      <c r="K552" s="2">
        <f t="shared" si="2"/>
        <v>0</v>
      </c>
      <c r="L552" s="2">
        <f t="shared" si="3"/>
        <v>0</v>
      </c>
      <c r="M552" s="2">
        <f t="shared" si="4"/>
        <v>0.1682134571</v>
      </c>
    </row>
    <row r="553" ht="15.75" customHeight="1">
      <c r="A553" s="3">
        <v>44993.0</v>
      </c>
      <c r="B553" s="2" t="s">
        <v>33</v>
      </c>
      <c r="C553" s="2" t="s">
        <v>35</v>
      </c>
      <c r="D553" s="2" t="s">
        <v>30</v>
      </c>
      <c r="E553" s="2">
        <v>5865.0</v>
      </c>
      <c r="F553" s="2">
        <v>527.85</v>
      </c>
      <c r="G553" s="2">
        <v>0.0</v>
      </c>
      <c r="H553" s="2">
        <v>63.0</v>
      </c>
      <c r="I553" s="2">
        <v>1646.0</v>
      </c>
      <c r="J553" s="2">
        <f t="shared" si="1"/>
        <v>0</v>
      </c>
      <c r="K553" s="2">
        <f t="shared" si="2"/>
        <v>0</v>
      </c>
      <c r="L553" s="2">
        <f t="shared" si="3"/>
        <v>0</v>
      </c>
      <c r="M553" s="2">
        <f t="shared" si="4"/>
        <v>0.1193520887</v>
      </c>
    </row>
    <row r="554" ht="15.75" customHeight="1">
      <c r="A554" s="3">
        <v>44994.0</v>
      </c>
      <c r="B554" s="2" t="s">
        <v>14</v>
      </c>
      <c r="C554" s="2" t="s">
        <v>15</v>
      </c>
      <c r="D554" s="2" t="s">
        <v>28</v>
      </c>
      <c r="E554" s="2">
        <v>9348.0</v>
      </c>
      <c r="F554" s="2">
        <v>560.88</v>
      </c>
      <c r="G554" s="2">
        <v>605.7504</v>
      </c>
      <c r="H554" s="2">
        <v>95.0</v>
      </c>
      <c r="I554" s="2">
        <v>2777.0</v>
      </c>
      <c r="J554" s="2">
        <f t="shared" si="1"/>
        <v>1.08</v>
      </c>
      <c r="K554" s="2">
        <f t="shared" si="2"/>
        <v>1.08</v>
      </c>
      <c r="L554" s="2">
        <f t="shared" si="3"/>
        <v>64.8</v>
      </c>
      <c r="M554" s="2">
        <f t="shared" si="4"/>
        <v>0.1693766938</v>
      </c>
    </row>
    <row r="555" ht="15.75" customHeight="1">
      <c r="A555" s="3">
        <v>44994.0</v>
      </c>
      <c r="B555" s="2" t="s">
        <v>14</v>
      </c>
      <c r="C555" s="2" t="s">
        <v>17</v>
      </c>
      <c r="D555" s="2" t="s">
        <v>25</v>
      </c>
      <c r="E555" s="2">
        <v>5024.0</v>
      </c>
      <c r="F555" s="2">
        <v>351.68</v>
      </c>
      <c r="G555" s="2">
        <v>386.848</v>
      </c>
      <c r="H555" s="2">
        <v>32.0</v>
      </c>
      <c r="I555" s="2">
        <v>4010.0</v>
      </c>
      <c r="J555" s="2">
        <f t="shared" si="1"/>
        <v>1.1</v>
      </c>
      <c r="K555" s="2">
        <f t="shared" si="2"/>
        <v>1.1</v>
      </c>
      <c r="L555" s="2">
        <f t="shared" si="3"/>
        <v>77</v>
      </c>
      <c r="M555" s="2">
        <f t="shared" si="4"/>
        <v>0.09099181074</v>
      </c>
    </row>
    <row r="556" ht="15.75" customHeight="1">
      <c r="A556" s="3">
        <v>44994.0</v>
      </c>
      <c r="B556" s="2" t="s">
        <v>20</v>
      </c>
      <c r="C556" s="2" t="s">
        <v>21</v>
      </c>
      <c r="D556" s="2" t="s">
        <v>16</v>
      </c>
      <c r="E556" s="2">
        <v>3640.0</v>
      </c>
      <c r="F556" s="2">
        <v>291.2</v>
      </c>
      <c r="G556" s="2">
        <v>396.03200000000004</v>
      </c>
      <c r="H556" s="2">
        <v>38.0</v>
      </c>
      <c r="I556" s="2">
        <v>3865.0</v>
      </c>
      <c r="J556" s="2">
        <f t="shared" si="1"/>
        <v>1.36</v>
      </c>
      <c r="K556" s="2">
        <f t="shared" si="2"/>
        <v>1.36</v>
      </c>
      <c r="L556" s="2">
        <f t="shared" si="3"/>
        <v>108.8</v>
      </c>
      <c r="M556" s="2">
        <f t="shared" si="4"/>
        <v>0.1304945055</v>
      </c>
    </row>
    <row r="557" ht="15.75" customHeight="1">
      <c r="A557" s="3">
        <v>44994.0</v>
      </c>
      <c r="B557" s="2" t="s">
        <v>20</v>
      </c>
      <c r="C557" s="2" t="s">
        <v>23</v>
      </c>
      <c r="D557" s="2" t="s">
        <v>28</v>
      </c>
      <c r="E557" s="2">
        <v>2716.0</v>
      </c>
      <c r="F557" s="2">
        <v>190.12</v>
      </c>
      <c r="G557" s="2">
        <v>302.29080000000005</v>
      </c>
      <c r="H557" s="2">
        <v>38.0</v>
      </c>
      <c r="I557" s="2">
        <v>2751.0</v>
      </c>
      <c r="J557" s="2">
        <f t="shared" si="1"/>
        <v>1.59</v>
      </c>
      <c r="K557" s="2">
        <f t="shared" si="2"/>
        <v>1.59</v>
      </c>
      <c r="L557" s="2">
        <f t="shared" si="3"/>
        <v>111.3</v>
      </c>
      <c r="M557" s="2">
        <f t="shared" si="4"/>
        <v>0.1998737639</v>
      </c>
    </row>
    <row r="558" ht="15.75" customHeight="1">
      <c r="A558" s="3">
        <v>44994.0</v>
      </c>
      <c r="B558" s="2" t="s">
        <v>26</v>
      </c>
      <c r="C558" s="2" t="s">
        <v>27</v>
      </c>
      <c r="D558" s="2" t="s">
        <v>22</v>
      </c>
      <c r="E558" s="2">
        <v>10793.0</v>
      </c>
      <c r="F558" s="2">
        <v>323.78999999999996</v>
      </c>
      <c r="G558" s="2">
        <v>259.032</v>
      </c>
      <c r="H558" s="2">
        <v>62.0</v>
      </c>
      <c r="I558" s="2">
        <v>1153.0</v>
      </c>
      <c r="J558" s="2">
        <f t="shared" si="1"/>
        <v>0.8</v>
      </c>
      <c r="K558" s="2">
        <f t="shared" si="2"/>
        <v>0.8</v>
      </c>
      <c r="L558" s="2">
        <f t="shared" si="3"/>
        <v>24</v>
      </c>
      <c r="M558" s="2">
        <f t="shared" si="4"/>
        <v>0.1914821335</v>
      </c>
    </row>
    <row r="559" ht="15.75" customHeight="1">
      <c r="A559" s="3">
        <v>44994.0</v>
      </c>
      <c r="B559" s="2" t="s">
        <v>26</v>
      </c>
      <c r="C559" s="2" t="s">
        <v>31</v>
      </c>
      <c r="D559" s="2" t="s">
        <v>22</v>
      </c>
      <c r="E559" s="2">
        <v>10034.0</v>
      </c>
      <c r="F559" s="2">
        <v>1003.4000000000001</v>
      </c>
      <c r="G559" s="2">
        <v>1986.7320000000002</v>
      </c>
      <c r="H559" s="2">
        <v>191.0</v>
      </c>
      <c r="I559" s="2">
        <v>2638.0</v>
      </c>
      <c r="J559" s="2">
        <f t="shared" si="1"/>
        <v>1.98</v>
      </c>
      <c r="K559" s="2">
        <f t="shared" si="2"/>
        <v>1.98</v>
      </c>
      <c r="L559" s="2">
        <f t="shared" si="3"/>
        <v>198</v>
      </c>
      <c r="M559" s="2">
        <f t="shared" si="4"/>
        <v>0.1903528005</v>
      </c>
    </row>
    <row r="560" ht="15.75" customHeight="1">
      <c r="A560" s="3">
        <v>44994.0</v>
      </c>
      <c r="B560" s="2" t="s">
        <v>33</v>
      </c>
      <c r="C560" s="2" t="s">
        <v>34</v>
      </c>
      <c r="D560" s="2" t="s">
        <v>30</v>
      </c>
      <c r="E560" s="2">
        <v>4210.0</v>
      </c>
      <c r="F560" s="2">
        <v>210.5</v>
      </c>
      <c r="G560" s="2">
        <v>0.0</v>
      </c>
      <c r="H560" s="2">
        <v>40.0</v>
      </c>
      <c r="I560" s="2">
        <v>3702.0</v>
      </c>
      <c r="J560" s="2">
        <f t="shared" si="1"/>
        <v>0</v>
      </c>
      <c r="K560" s="2">
        <f t="shared" si="2"/>
        <v>0</v>
      </c>
      <c r="L560" s="2">
        <f t="shared" si="3"/>
        <v>0</v>
      </c>
      <c r="M560" s="2">
        <f t="shared" si="4"/>
        <v>0.190023753</v>
      </c>
    </row>
    <row r="561" ht="15.75" customHeight="1">
      <c r="A561" s="3">
        <v>44994.0</v>
      </c>
      <c r="B561" s="2" t="s">
        <v>33</v>
      </c>
      <c r="C561" s="2" t="s">
        <v>35</v>
      </c>
      <c r="D561" s="2" t="s">
        <v>19</v>
      </c>
      <c r="E561" s="2">
        <v>4716.0</v>
      </c>
      <c r="F561" s="2">
        <v>94.32000000000001</v>
      </c>
      <c r="G561" s="2">
        <v>0.0</v>
      </c>
      <c r="H561" s="2">
        <v>5.0</v>
      </c>
      <c r="I561" s="2">
        <v>1042.0</v>
      </c>
      <c r="J561" s="2">
        <f t="shared" si="1"/>
        <v>0</v>
      </c>
      <c r="K561" s="2">
        <f t="shared" si="2"/>
        <v>0</v>
      </c>
      <c r="L561" s="2">
        <f t="shared" si="3"/>
        <v>0</v>
      </c>
      <c r="M561" s="2">
        <f t="shared" si="4"/>
        <v>0.05301102629</v>
      </c>
    </row>
    <row r="562" ht="15.75" customHeight="1">
      <c r="A562" s="3">
        <v>44995.0</v>
      </c>
      <c r="B562" s="2" t="s">
        <v>14</v>
      </c>
      <c r="C562" s="2" t="s">
        <v>15</v>
      </c>
      <c r="D562" s="2" t="s">
        <v>16</v>
      </c>
      <c r="E562" s="2">
        <v>9017.0</v>
      </c>
      <c r="F562" s="2">
        <v>360.68</v>
      </c>
      <c r="G562" s="2">
        <v>667.258</v>
      </c>
      <c r="H562" s="2">
        <v>43.0</v>
      </c>
      <c r="I562" s="2">
        <v>158.0</v>
      </c>
      <c r="J562" s="2">
        <f t="shared" si="1"/>
        <v>1.85</v>
      </c>
      <c r="K562" s="2">
        <f t="shared" si="2"/>
        <v>1.85</v>
      </c>
      <c r="L562" s="2">
        <f t="shared" si="3"/>
        <v>74</v>
      </c>
      <c r="M562" s="2">
        <f t="shared" si="4"/>
        <v>0.1192192525</v>
      </c>
    </row>
    <row r="563" ht="15.75" customHeight="1">
      <c r="A563" s="3">
        <v>44995.0</v>
      </c>
      <c r="B563" s="2" t="s">
        <v>14</v>
      </c>
      <c r="C563" s="2" t="s">
        <v>17</v>
      </c>
      <c r="D563" s="2" t="s">
        <v>13</v>
      </c>
      <c r="E563" s="2">
        <v>6130.0</v>
      </c>
      <c r="F563" s="2">
        <v>367.8</v>
      </c>
      <c r="G563" s="2">
        <v>239.07000000000002</v>
      </c>
      <c r="H563" s="2">
        <v>51.0</v>
      </c>
      <c r="I563" s="2">
        <v>499.0</v>
      </c>
      <c r="J563" s="2">
        <f t="shared" si="1"/>
        <v>0.65</v>
      </c>
      <c r="K563" s="2">
        <f t="shared" si="2"/>
        <v>0.65</v>
      </c>
      <c r="L563" s="2">
        <f t="shared" si="3"/>
        <v>39</v>
      </c>
      <c r="M563" s="2">
        <f t="shared" si="4"/>
        <v>0.1386623165</v>
      </c>
    </row>
    <row r="564" ht="15.75" customHeight="1">
      <c r="A564" s="3">
        <v>44995.0</v>
      </c>
      <c r="B564" s="2" t="s">
        <v>20</v>
      </c>
      <c r="C564" s="2" t="s">
        <v>21</v>
      </c>
      <c r="D564" s="2" t="s">
        <v>16</v>
      </c>
      <c r="E564" s="2">
        <v>3970.0</v>
      </c>
      <c r="F564" s="2">
        <v>317.6</v>
      </c>
      <c r="G564" s="2">
        <v>616.144</v>
      </c>
      <c r="H564" s="2">
        <v>22.0</v>
      </c>
      <c r="I564" s="2">
        <v>1720.0</v>
      </c>
      <c r="J564" s="2">
        <f t="shared" si="1"/>
        <v>1.94</v>
      </c>
      <c r="K564" s="2">
        <f t="shared" si="2"/>
        <v>1.94</v>
      </c>
      <c r="L564" s="2">
        <f t="shared" si="3"/>
        <v>155.2</v>
      </c>
      <c r="M564" s="2">
        <f t="shared" si="4"/>
        <v>0.06926952141</v>
      </c>
    </row>
    <row r="565" ht="15.75" customHeight="1">
      <c r="A565" s="3">
        <v>44995.0</v>
      </c>
      <c r="B565" s="2" t="s">
        <v>20</v>
      </c>
      <c r="C565" s="2" t="s">
        <v>23</v>
      </c>
      <c r="D565" s="2" t="s">
        <v>13</v>
      </c>
      <c r="E565" s="2">
        <v>5208.0</v>
      </c>
      <c r="F565" s="2">
        <v>468.71999999999997</v>
      </c>
      <c r="G565" s="2">
        <v>857.7576</v>
      </c>
      <c r="H565" s="2">
        <v>61.0</v>
      </c>
      <c r="I565" s="2">
        <v>2245.0</v>
      </c>
      <c r="J565" s="2">
        <f t="shared" si="1"/>
        <v>1.83</v>
      </c>
      <c r="K565" s="2">
        <f t="shared" si="2"/>
        <v>1.83</v>
      </c>
      <c r="L565" s="2">
        <f t="shared" si="3"/>
        <v>164.7</v>
      </c>
      <c r="M565" s="2">
        <f t="shared" si="4"/>
        <v>0.1301416624</v>
      </c>
    </row>
    <row r="566" ht="15.75" customHeight="1">
      <c r="A566" s="3">
        <v>44995.0</v>
      </c>
      <c r="B566" s="2" t="s">
        <v>26</v>
      </c>
      <c r="C566" s="2" t="s">
        <v>27</v>
      </c>
      <c r="D566" s="2" t="s">
        <v>22</v>
      </c>
      <c r="E566" s="2">
        <v>14186.0</v>
      </c>
      <c r="F566" s="2">
        <v>709.3000000000001</v>
      </c>
      <c r="G566" s="2">
        <v>617.091</v>
      </c>
      <c r="H566" s="2">
        <v>43.0</v>
      </c>
      <c r="I566" s="2">
        <v>3768.0</v>
      </c>
      <c r="J566" s="2">
        <f t="shared" si="1"/>
        <v>0.87</v>
      </c>
      <c r="K566" s="2">
        <f t="shared" si="2"/>
        <v>0.87</v>
      </c>
      <c r="L566" s="2">
        <f t="shared" si="3"/>
        <v>43.5</v>
      </c>
      <c r="M566" s="2">
        <f t="shared" si="4"/>
        <v>0.06062314958</v>
      </c>
    </row>
    <row r="567" ht="15.75" customHeight="1">
      <c r="A567" s="3">
        <v>44995.0</v>
      </c>
      <c r="B567" s="2" t="s">
        <v>26</v>
      </c>
      <c r="C567" s="2" t="s">
        <v>31</v>
      </c>
      <c r="D567" s="2" t="s">
        <v>32</v>
      </c>
      <c r="E567" s="2">
        <v>10078.0</v>
      </c>
      <c r="F567" s="2">
        <v>503.90000000000003</v>
      </c>
      <c r="G567" s="2">
        <v>151.17000000000002</v>
      </c>
      <c r="H567" s="2">
        <v>86.0</v>
      </c>
      <c r="I567" s="2">
        <v>3767.0</v>
      </c>
      <c r="J567" s="2">
        <f t="shared" si="1"/>
        <v>0.3</v>
      </c>
      <c r="K567" s="2">
        <f t="shared" si="2"/>
        <v>0.3</v>
      </c>
      <c r="L567" s="2">
        <f t="shared" si="3"/>
        <v>15</v>
      </c>
      <c r="M567" s="2">
        <f t="shared" si="4"/>
        <v>0.1706687835</v>
      </c>
    </row>
    <row r="568" ht="15.75" customHeight="1">
      <c r="A568" s="3">
        <v>44995.0</v>
      </c>
      <c r="B568" s="2" t="s">
        <v>33</v>
      </c>
      <c r="C568" s="2" t="s">
        <v>34</v>
      </c>
      <c r="D568" s="2" t="s">
        <v>13</v>
      </c>
      <c r="E568" s="2">
        <v>2259.0</v>
      </c>
      <c r="F568" s="2">
        <v>135.54</v>
      </c>
      <c r="G568" s="2">
        <v>0.0</v>
      </c>
      <c r="H568" s="2">
        <v>26.0</v>
      </c>
      <c r="I568" s="2">
        <v>4591.0</v>
      </c>
      <c r="J568" s="2">
        <f t="shared" si="1"/>
        <v>0</v>
      </c>
      <c r="K568" s="2">
        <f t="shared" si="2"/>
        <v>0</v>
      </c>
      <c r="L568" s="2">
        <f t="shared" si="3"/>
        <v>0</v>
      </c>
      <c r="M568" s="2">
        <f t="shared" si="4"/>
        <v>0.1918252914</v>
      </c>
    </row>
    <row r="569" ht="15.75" customHeight="1">
      <c r="A569" s="3">
        <v>44995.0</v>
      </c>
      <c r="B569" s="2" t="s">
        <v>33</v>
      </c>
      <c r="C569" s="2" t="s">
        <v>35</v>
      </c>
      <c r="D569" s="2" t="s">
        <v>16</v>
      </c>
      <c r="E569" s="2">
        <v>3720.0</v>
      </c>
      <c r="F569" s="2">
        <v>148.8</v>
      </c>
      <c r="G569" s="2">
        <v>0.0</v>
      </c>
      <c r="H569" s="2">
        <v>19.0</v>
      </c>
      <c r="I569" s="2">
        <v>1413.0</v>
      </c>
      <c r="J569" s="2">
        <f t="shared" si="1"/>
        <v>0</v>
      </c>
      <c r="K569" s="2">
        <f t="shared" si="2"/>
        <v>0</v>
      </c>
      <c r="L569" s="2">
        <f t="shared" si="3"/>
        <v>0</v>
      </c>
      <c r="M569" s="2">
        <f t="shared" si="4"/>
        <v>0.127688172</v>
      </c>
    </row>
    <row r="570" ht="15.75" customHeight="1">
      <c r="A570" s="3">
        <v>44996.0</v>
      </c>
      <c r="B570" s="2" t="s">
        <v>14</v>
      </c>
      <c r="C570" s="2" t="s">
        <v>15</v>
      </c>
      <c r="D570" s="2" t="s">
        <v>19</v>
      </c>
      <c r="E570" s="2">
        <v>6447.0</v>
      </c>
      <c r="F570" s="2">
        <v>193.41</v>
      </c>
      <c r="G570" s="2">
        <v>218.55329999999998</v>
      </c>
      <c r="H570" s="2">
        <v>10.0</v>
      </c>
      <c r="I570" s="2">
        <v>2145.0</v>
      </c>
      <c r="J570" s="2">
        <f t="shared" si="1"/>
        <v>1.13</v>
      </c>
      <c r="K570" s="2">
        <f t="shared" si="2"/>
        <v>1.13</v>
      </c>
      <c r="L570" s="2">
        <f t="shared" si="3"/>
        <v>33.9</v>
      </c>
      <c r="M570" s="2">
        <f t="shared" si="4"/>
        <v>0.05170363477</v>
      </c>
    </row>
    <row r="571" ht="15.75" customHeight="1">
      <c r="A571" s="3">
        <v>44996.0</v>
      </c>
      <c r="B571" s="2" t="s">
        <v>14</v>
      </c>
      <c r="C571" s="2" t="s">
        <v>17</v>
      </c>
      <c r="D571" s="2" t="s">
        <v>19</v>
      </c>
      <c r="E571" s="2">
        <v>9803.0</v>
      </c>
      <c r="F571" s="2">
        <v>882.27</v>
      </c>
      <c r="G571" s="2">
        <v>1402.8093000000001</v>
      </c>
      <c r="H571" s="2">
        <v>88.0</v>
      </c>
      <c r="I571" s="2">
        <v>1564.0</v>
      </c>
      <c r="J571" s="2">
        <f t="shared" si="1"/>
        <v>1.59</v>
      </c>
      <c r="K571" s="2">
        <f t="shared" si="2"/>
        <v>1.59</v>
      </c>
      <c r="L571" s="2">
        <f t="shared" si="3"/>
        <v>143.1</v>
      </c>
      <c r="M571" s="2">
        <f t="shared" si="4"/>
        <v>0.09974270915</v>
      </c>
    </row>
    <row r="572" ht="15.75" customHeight="1">
      <c r="A572" s="3">
        <v>44996.0</v>
      </c>
      <c r="B572" s="2" t="s">
        <v>20</v>
      </c>
      <c r="C572" s="2" t="s">
        <v>21</v>
      </c>
      <c r="D572" s="2" t="s">
        <v>32</v>
      </c>
      <c r="E572" s="2">
        <v>4488.0</v>
      </c>
      <c r="F572" s="2">
        <v>403.91999999999996</v>
      </c>
      <c r="G572" s="2">
        <v>609.9191999999999</v>
      </c>
      <c r="H572" s="2">
        <v>57.0</v>
      </c>
      <c r="I572" s="2">
        <v>4840.0</v>
      </c>
      <c r="J572" s="2">
        <f t="shared" si="1"/>
        <v>1.51</v>
      </c>
      <c r="K572" s="2">
        <f t="shared" si="2"/>
        <v>1.51</v>
      </c>
      <c r="L572" s="2">
        <f t="shared" si="3"/>
        <v>135.9</v>
      </c>
      <c r="M572" s="2">
        <f t="shared" si="4"/>
        <v>0.1411170529</v>
      </c>
    </row>
    <row r="573" ht="15.75" customHeight="1">
      <c r="A573" s="3">
        <v>44996.0</v>
      </c>
      <c r="B573" s="2" t="s">
        <v>20</v>
      </c>
      <c r="C573" s="2" t="s">
        <v>23</v>
      </c>
      <c r="D573" s="2" t="s">
        <v>13</v>
      </c>
      <c r="E573" s="2">
        <v>3909.0</v>
      </c>
      <c r="F573" s="2">
        <v>312.72</v>
      </c>
      <c r="G573" s="2">
        <v>197.01360000000003</v>
      </c>
      <c r="H573" s="2">
        <v>19.0</v>
      </c>
      <c r="I573" s="2">
        <v>187.0</v>
      </c>
      <c r="J573" s="2">
        <f t="shared" si="1"/>
        <v>0.63</v>
      </c>
      <c r="K573" s="2">
        <f t="shared" si="2"/>
        <v>0.63</v>
      </c>
      <c r="L573" s="2">
        <f t="shared" si="3"/>
        <v>50.4</v>
      </c>
      <c r="M573" s="2">
        <f t="shared" si="4"/>
        <v>0.06075722691</v>
      </c>
    </row>
    <row r="574" ht="15.75" customHeight="1">
      <c r="A574" s="3">
        <v>44996.0</v>
      </c>
      <c r="B574" s="2" t="s">
        <v>26</v>
      </c>
      <c r="C574" s="2" t="s">
        <v>27</v>
      </c>
      <c r="D574" s="2" t="s">
        <v>30</v>
      </c>
      <c r="E574" s="2">
        <v>10288.0</v>
      </c>
      <c r="F574" s="2">
        <v>308.64</v>
      </c>
      <c r="G574" s="2">
        <v>456.7872</v>
      </c>
      <c r="H574" s="2">
        <v>19.0</v>
      </c>
      <c r="I574" s="2">
        <v>504.0</v>
      </c>
      <c r="J574" s="2">
        <f t="shared" si="1"/>
        <v>1.48</v>
      </c>
      <c r="K574" s="2">
        <f t="shared" si="2"/>
        <v>1.48</v>
      </c>
      <c r="L574" s="2">
        <f t="shared" si="3"/>
        <v>44.4</v>
      </c>
      <c r="M574" s="2">
        <f t="shared" si="4"/>
        <v>0.06156039399</v>
      </c>
    </row>
    <row r="575" ht="15.75" customHeight="1">
      <c r="A575" s="3">
        <v>44996.0</v>
      </c>
      <c r="B575" s="2" t="s">
        <v>26</v>
      </c>
      <c r="C575" s="2" t="s">
        <v>31</v>
      </c>
      <c r="D575" s="2" t="s">
        <v>22</v>
      </c>
      <c r="E575" s="2">
        <v>14123.0</v>
      </c>
      <c r="F575" s="2">
        <v>564.92</v>
      </c>
      <c r="G575" s="2">
        <v>740.0452</v>
      </c>
      <c r="H575" s="2">
        <v>79.0</v>
      </c>
      <c r="I575" s="2">
        <v>1717.0</v>
      </c>
      <c r="J575" s="2">
        <f t="shared" si="1"/>
        <v>1.31</v>
      </c>
      <c r="K575" s="2">
        <f t="shared" si="2"/>
        <v>1.31</v>
      </c>
      <c r="L575" s="2">
        <f t="shared" si="3"/>
        <v>52.4</v>
      </c>
      <c r="M575" s="2">
        <f t="shared" si="4"/>
        <v>0.1398428096</v>
      </c>
    </row>
    <row r="576" ht="15.75" customHeight="1">
      <c r="A576" s="3">
        <v>44996.0</v>
      </c>
      <c r="B576" s="2" t="s">
        <v>33</v>
      </c>
      <c r="C576" s="2" t="s">
        <v>34</v>
      </c>
      <c r="D576" s="2" t="s">
        <v>30</v>
      </c>
      <c r="E576" s="2">
        <v>5347.0</v>
      </c>
      <c r="F576" s="2">
        <v>374.29</v>
      </c>
      <c r="G576" s="2">
        <v>0.0</v>
      </c>
      <c r="H576" s="2">
        <v>34.0</v>
      </c>
      <c r="I576" s="2">
        <v>559.0</v>
      </c>
      <c r="J576" s="2">
        <f t="shared" si="1"/>
        <v>0</v>
      </c>
      <c r="K576" s="2">
        <f t="shared" si="2"/>
        <v>0</v>
      </c>
      <c r="L576" s="2">
        <f t="shared" si="3"/>
        <v>0</v>
      </c>
      <c r="M576" s="2">
        <f t="shared" si="4"/>
        <v>0.09083865452</v>
      </c>
    </row>
    <row r="577" ht="15.75" customHeight="1">
      <c r="A577" s="3">
        <v>44996.0</v>
      </c>
      <c r="B577" s="2" t="s">
        <v>33</v>
      </c>
      <c r="C577" s="2" t="s">
        <v>35</v>
      </c>
      <c r="D577" s="2" t="s">
        <v>32</v>
      </c>
      <c r="E577" s="2">
        <v>5997.0</v>
      </c>
      <c r="F577" s="2">
        <v>539.73</v>
      </c>
      <c r="G577" s="2">
        <v>0.0</v>
      </c>
      <c r="H577" s="2">
        <v>108.0</v>
      </c>
      <c r="I577" s="2">
        <v>2216.0</v>
      </c>
      <c r="J577" s="2">
        <f t="shared" si="1"/>
        <v>0</v>
      </c>
      <c r="K577" s="2">
        <f t="shared" si="2"/>
        <v>0</v>
      </c>
      <c r="L577" s="2">
        <f t="shared" si="3"/>
        <v>0</v>
      </c>
      <c r="M577" s="2">
        <f t="shared" si="4"/>
        <v>0.20010005</v>
      </c>
    </row>
    <row r="578" ht="15.75" customHeight="1">
      <c r="A578" s="3">
        <v>44997.0</v>
      </c>
      <c r="B578" s="2" t="s">
        <v>14</v>
      </c>
      <c r="C578" s="2" t="s">
        <v>15</v>
      </c>
      <c r="D578" s="2" t="s">
        <v>19</v>
      </c>
      <c r="E578" s="2">
        <v>9740.0</v>
      </c>
      <c r="F578" s="2">
        <v>584.4</v>
      </c>
      <c r="G578" s="2">
        <v>338.95199999999994</v>
      </c>
      <c r="H578" s="2">
        <v>88.0</v>
      </c>
      <c r="I578" s="2">
        <v>389.0</v>
      </c>
      <c r="J578" s="2">
        <f t="shared" si="1"/>
        <v>0.58</v>
      </c>
      <c r="K578" s="2">
        <f t="shared" si="2"/>
        <v>0.58</v>
      </c>
      <c r="L578" s="2">
        <f t="shared" si="3"/>
        <v>34.8</v>
      </c>
      <c r="M578" s="2">
        <f t="shared" si="4"/>
        <v>0.1505817933</v>
      </c>
    </row>
    <row r="579" ht="15.75" customHeight="1">
      <c r="A579" s="3">
        <v>44997.0</v>
      </c>
      <c r="B579" s="2" t="s">
        <v>14</v>
      </c>
      <c r="C579" s="2" t="s">
        <v>17</v>
      </c>
      <c r="D579" s="2" t="s">
        <v>18</v>
      </c>
      <c r="E579" s="2">
        <v>8292.0</v>
      </c>
      <c r="F579" s="2">
        <v>331.68</v>
      </c>
      <c r="G579" s="2">
        <v>139.3056</v>
      </c>
      <c r="H579" s="2">
        <v>46.0</v>
      </c>
      <c r="I579" s="2">
        <v>2467.0</v>
      </c>
      <c r="J579" s="2">
        <f t="shared" si="1"/>
        <v>0.42</v>
      </c>
      <c r="K579" s="2">
        <f t="shared" si="2"/>
        <v>0.42</v>
      </c>
      <c r="L579" s="2">
        <f t="shared" si="3"/>
        <v>16.8</v>
      </c>
      <c r="M579" s="2">
        <f t="shared" si="4"/>
        <v>0.1386878919</v>
      </c>
    </row>
    <row r="580" ht="15.75" customHeight="1">
      <c r="A580" s="3">
        <v>44997.0</v>
      </c>
      <c r="B580" s="2" t="s">
        <v>20</v>
      </c>
      <c r="C580" s="2" t="s">
        <v>21</v>
      </c>
      <c r="D580" s="2" t="s">
        <v>25</v>
      </c>
      <c r="E580" s="2">
        <v>5186.0</v>
      </c>
      <c r="F580" s="2">
        <v>414.88</v>
      </c>
      <c r="G580" s="2">
        <v>510.3024</v>
      </c>
      <c r="H580" s="2">
        <v>66.0</v>
      </c>
      <c r="I580" s="2">
        <v>4163.0</v>
      </c>
      <c r="J580" s="2">
        <f t="shared" si="1"/>
        <v>1.23</v>
      </c>
      <c r="K580" s="2">
        <f t="shared" si="2"/>
        <v>1.23</v>
      </c>
      <c r="L580" s="2">
        <f t="shared" si="3"/>
        <v>98.4</v>
      </c>
      <c r="M580" s="2">
        <f t="shared" si="4"/>
        <v>0.1590821442</v>
      </c>
    </row>
    <row r="581" ht="15.75" customHeight="1">
      <c r="A581" s="3">
        <v>44997.0</v>
      </c>
      <c r="B581" s="2" t="s">
        <v>20</v>
      </c>
      <c r="C581" s="2" t="s">
        <v>23</v>
      </c>
      <c r="D581" s="2" t="s">
        <v>30</v>
      </c>
      <c r="E581" s="2">
        <v>4203.0</v>
      </c>
      <c r="F581" s="2">
        <v>210.15</v>
      </c>
      <c r="G581" s="2">
        <v>250.0785</v>
      </c>
      <c r="H581" s="2">
        <v>36.0</v>
      </c>
      <c r="I581" s="2">
        <v>569.0</v>
      </c>
      <c r="J581" s="2">
        <f t="shared" si="1"/>
        <v>1.19</v>
      </c>
      <c r="K581" s="2">
        <f t="shared" si="2"/>
        <v>1.19</v>
      </c>
      <c r="L581" s="2">
        <f t="shared" si="3"/>
        <v>59.5</v>
      </c>
      <c r="M581" s="2">
        <f t="shared" si="4"/>
        <v>0.1713062099</v>
      </c>
    </row>
    <row r="582" ht="15.75" customHeight="1">
      <c r="A582" s="3">
        <v>44997.0</v>
      </c>
      <c r="B582" s="2" t="s">
        <v>26</v>
      </c>
      <c r="C582" s="2" t="s">
        <v>27</v>
      </c>
      <c r="D582" s="2" t="s">
        <v>32</v>
      </c>
      <c r="E582" s="2">
        <v>12411.0</v>
      </c>
      <c r="F582" s="2">
        <v>868.7700000000001</v>
      </c>
      <c r="G582" s="2">
        <v>1659.3507000000002</v>
      </c>
      <c r="H582" s="2">
        <v>43.0</v>
      </c>
      <c r="I582" s="2">
        <v>1344.0</v>
      </c>
      <c r="J582" s="2">
        <f t="shared" si="1"/>
        <v>1.91</v>
      </c>
      <c r="K582" s="2">
        <f t="shared" si="2"/>
        <v>1.91</v>
      </c>
      <c r="L582" s="2">
        <f t="shared" si="3"/>
        <v>133.7</v>
      </c>
      <c r="M582" s="2">
        <f t="shared" si="4"/>
        <v>0.04949526342</v>
      </c>
    </row>
    <row r="583" ht="15.75" customHeight="1">
      <c r="A583" s="3">
        <v>44997.0</v>
      </c>
      <c r="B583" s="2" t="s">
        <v>26</v>
      </c>
      <c r="C583" s="2" t="s">
        <v>31</v>
      </c>
      <c r="D583" s="2" t="s">
        <v>32</v>
      </c>
      <c r="E583" s="2">
        <v>10637.0</v>
      </c>
      <c r="F583" s="2">
        <v>1063.7</v>
      </c>
      <c r="G583" s="2">
        <v>1989.1190000000001</v>
      </c>
      <c r="H583" s="2">
        <v>53.0</v>
      </c>
      <c r="I583" s="2">
        <v>3886.0</v>
      </c>
      <c r="J583" s="2">
        <f t="shared" si="1"/>
        <v>1.87</v>
      </c>
      <c r="K583" s="2">
        <f t="shared" si="2"/>
        <v>1.87</v>
      </c>
      <c r="L583" s="2">
        <f t="shared" si="3"/>
        <v>187</v>
      </c>
      <c r="M583" s="2">
        <f t="shared" si="4"/>
        <v>0.04982607878</v>
      </c>
    </row>
    <row r="584" ht="15.75" customHeight="1">
      <c r="A584" s="3">
        <v>44997.0</v>
      </c>
      <c r="B584" s="2" t="s">
        <v>33</v>
      </c>
      <c r="C584" s="2" t="s">
        <v>34</v>
      </c>
      <c r="D584" s="2" t="s">
        <v>13</v>
      </c>
      <c r="E584" s="2">
        <v>5453.0</v>
      </c>
      <c r="F584" s="2">
        <v>490.77</v>
      </c>
      <c r="G584" s="2">
        <v>0.0</v>
      </c>
      <c r="H584" s="2">
        <v>83.0</v>
      </c>
      <c r="I584" s="2">
        <v>1556.0</v>
      </c>
      <c r="J584" s="2">
        <f t="shared" si="1"/>
        <v>0</v>
      </c>
      <c r="K584" s="2">
        <f t="shared" si="2"/>
        <v>0</v>
      </c>
      <c r="L584" s="2">
        <f t="shared" si="3"/>
        <v>0</v>
      </c>
      <c r="M584" s="2">
        <f t="shared" si="4"/>
        <v>0.169121992</v>
      </c>
    </row>
    <row r="585" ht="15.75" customHeight="1">
      <c r="A585" s="3">
        <v>44997.0</v>
      </c>
      <c r="B585" s="2" t="s">
        <v>33</v>
      </c>
      <c r="C585" s="2" t="s">
        <v>35</v>
      </c>
      <c r="D585" s="2" t="s">
        <v>28</v>
      </c>
      <c r="E585" s="2">
        <v>4543.0</v>
      </c>
      <c r="F585" s="2">
        <v>408.87</v>
      </c>
      <c r="G585" s="2">
        <v>0.0</v>
      </c>
      <c r="H585" s="2">
        <v>20.0</v>
      </c>
      <c r="I585" s="2">
        <v>257.0</v>
      </c>
      <c r="J585" s="2">
        <f t="shared" si="1"/>
        <v>0</v>
      </c>
      <c r="K585" s="2">
        <f t="shared" si="2"/>
        <v>0</v>
      </c>
      <c r="L585" s="2">
        <f t="shared" si="3"/>
        <v>0</v>
      </c>
      <c r="M585" s="2">
        <f t="shared" si="4"/>
        <v>0.04891530315</v>
      </c>
    </row>
    <row r="586" ht="15.75" customHeight="1">
      <c r="A586" s="3">
        <v>44998.0</v>
      </c>
      <c r="B586" s="2" t="s">
        <v>14</v>
      </c>
      <c r="C586" s="2" t="s">
        <v>15</v>
      </c>
      <c r="D586" s="2" t="s">
        <v>18</v>
      </c>
      <c r="E586" s="2">
        <v>10446.0</v>
      </c>
      <c r="F586" s="2">
        <v>731.22</v>
      </c>
      <c r="G586" s="2">
        <v>1338.1326000000001</v>
      </c>
      <c r="H586" s="2">
        <v>146.0</v>
      </c>
      <c r="I586" s="2">
        <v>621.0</v>
      </c>
      <c r="J586" s="2">
        <f t="shared" si="1"/>
        <v>1.83</v>
      </c>
      <c r="K586" s="2">
        <f t="shared" si="2"/>
        <v>1.83</v>
      </c>
      <c r="L586" s="2">
        <f t="shared" si="3"/>
        <v>128.1</v>
      </c>
      <c r="M586" s="2">
        <f t="shared" si="4"/>
        <v>0.1996663111</v>
      </c>
    </row>
    <row r="587" ht="15.75" customHeight="1">
      <c r="A587" s="3">
        <v>44998.0</v>
      </c>
      <c r="B587" s="2" t="s">
        <v>14</v>
      </c>
      <c r="C587" s="2" t="s">
        <v>17</v>
      </c>
      <c r="D587" s="2" t="s">
        <v>16</v>
      </c>
      <c r="E587" s="2">
        <v>10645.0</v>
      </c>
      <c r="F587" s="2">
        <v>425.8</v>
      </c>
      <c r="G587" s="2">
        <v>843.0840000000001</v>
      </c>
      <c r="H587" s="2">
        <v>21.0</v>
      </c>
      <c r="I587" s="2">
        <v>3433.0</v>
      </c>
      <c r="J587" s="2">
        <f t="shared" si="1"/>
        <v>1.98</v>
      </c>
      <c r="K587" s="2">
        <f t="shared" si="2"/>
        <v>1.98</v>
      </c>
      <c r="L587" s="2">
        <f t="shared" si="3"/>
        <v>79.2</v>
      </c>
      <c r="M587" s="2">
        <f t="shared" si="4"/>
        <v>0.04931892907</v>
      </c>
    </row>
    <row r="588" ht="15.75" customHeight="1">
      <c r="A588" s="3">
        <v>44998.0</v>
      </c>
      <c r="B588" s="2" t="s">
        <v>20</v>
      </c>
      <c r="C588" s="2" t="s">
        <v>21</v>
      </c>
      <c r="D588" s="2" t="s">
        <v>19</v>
      </c>
      <c r="E588" s="2">
        <v>3853.0</v>
      </c>
      <c r="F588" s="2">
        <v>269.71000000000004</v>
      </c>
      <c r="G588" s="2">
        <v>391.07950000000005</v>
      </c>
      <c r="H588" s="2">
        <v>49.0</v>
      </c>
      <c r="I588" s="2">
        <v>2996.0</v>
      </c>
      <c r="J588" s="2">
        <f t="shared" si="1"/>
        <v>1.45</v>
      </c>
      <c r="K588" s="2">
        <f t="shared" si="2"/>
        <v>1.45</v>
      </c>
      <c r="L588" s="2">
        <f t="shared" si="3"/>
        <v>101.5</v>
      </c>
      <c r="M588" s="2">
        <f t="shared" si="4"/>
        <v>0.1816766156</v>
      </c>
    </row>
    <row r="589" ht="15.75" customHeight="1">
      <c r="A589" s="3">
        <v>44998.0</v>
      </c>
      <c r="B589" s="2" t="s">
        <v>20</v>
      </c>
      <c r="C589" s="2" t="s">
        <v>23</v>
      </c>
      <c r="D589" s="2" t="s">
        <v>13</v>
      </c>
      <c r="E589" s="2">
        <v>4418.0</v>
      </c>
      <c r="F589" s="2">
        <v>220.9</v>
      </c>
      <c r="G589" s="2">
        <v>287.17</v>
      </c>
      <c r="H589" s="2">
        <v>22.0</v>
      </c>
      <c r="I589" s="2">
        <v>2317.0</v>
      </c>
      <c r="J589" s="2">
        <f t="shared" si="1"/>
        <v>1.3</v>
      </c>
      <c r="K589" s="2">
        <f t="shared" si="2"/>
        <v>1.3</v>
      </c>
      <c r="L589" s="2">
        <f t="shared" si="3"/>
        <v>65</v>
      </c>
      <c r="M589" s="2">
        <f t="shared" si="4"/>
        <v>0.09959257583</v>
      </c>
    </row>
    <row r="590" ht="15.75" customHeight="1">
      <c r="A590" s="3">
        <v>44998.0</v>
      </c>
      <c r="B590" s="2" t="s">
        <v>26</v>
      </c>
      <c r="C590" s="2" t="s">
        <v>27</v>
      </c>
      <c r="D590" s="2" t="s">
        <v>22</v>
      </c>
      <c r="E590" s="2">
        <v>13003.0</v>
      </c>
      <c r="F590" s="2">
        <v>650.1500000000001</v>
      </c>
      <c r="G590" s="2">
        <v>1020.7355000000002</v>
      </c>
      <c r="H590" s="2">
        <v>65.0</v>
      </c>
      <c r="I590" s="2">
        <v>649.0</v>
      </c>
      <c r="J590" s="2">
        <f t="shared" si="1"/>
        <v>1.57</v>
      </c>
      <c r="K590" s="2">
        <f t="shared" si="2"/>
        <v>1.57</v>
      </c>
      <c r="L590" s="2">
        <f t="shared" si="3"/>
        <v>78.5</v>
      </c>
      <c r="M590" s="2">
        <f t="shared" si="4"/>
        <v>0.0999769284</v>
      </c>
    </row>
    <row r="591" ht="15.75" customHeight="1">
      <c r="A591" s="3">
        <v>44998.0</v>
      </c>
      <c r="B591" s="2" t="s">
        <v>26</v>
      </c>
      <c r="C591" s="2" t="s">
        <v>31</v>
      </c>
      <c r="D591" s="2" t="s">
        <v>24</v>
      </c>
      <c r="E591" s="2">
        <v>12110.0</v>
      </c>
      <c r="F591" s="2">
        <v>363.3</v>
      </c>
      <c r="G591" s="2">
        <v>319.704</v>
      </c>
      <c r="H591" s="2">
        <v>51.0</v>
      </c>
      <c r="I591" s="2">
        <v>3458.0</v>
      </c>
      <c r="J591" s="2">
        <f t="shared" si="1"/>
        <v>0.88</v>
      </c>
      <c r="K591" s="2">
        <f t="shared" si="2"/>
        <v>0.88</v>
      </c>
      <c r="L591" s="2">
        <f t="shared" si="3"/>
        <v>26.4</v>
      </c>
      <c r="M591" s="2">
        <f t="shared" si="4"/>
        <v>0.1403798514</v>
      </c>
    </row>
    <row r="592" ht="15.75" customHeight="1">
      <c r="A592" s="3">
        <v>44998.0</v>
      </c>
      <c r="B592" s="2" t="s">
        <v>33</v>
      </c>
      <c r="C592" s="2" t="s">
        <v>34</v>
      </c>
      <c r="D592" s="2" t="s">
        <v>19</v>
      </c>
      <c r="E592" s="2">
        <v>5255.0</v>
      </c>
      <c r="F592" s="2">
        <v>420.40000000000003</v>
      </c>
      <c r="G592" s="2">
        <v>0.0</v>
      </c>
      <c r="H592" s="2">
        <v>34.0</v>
      </c>
      <c r="I592" s="2">
        <v>4926.0</v>
      </c>
      <c r="J592" s="2">
        <f t="shared" si="1"/>
        <v>0</v>
      </c>
      <c r="K592" s="2">
        <f t="shared" si="2"/>
        <v>0</v>
      </c>
      <c r="L592" s="2">
        <f t="shared" si="3"/>
        <v>0</v>
      </c>
      <c r="M592" s="2">
        <f t="shared" si="4"/>
        <v>0.0808753568</v>
      </c>
    </row>
    <row r="593" ht="15.75" customHeight="1">
      <c r="A593" s="3">
        <v>44998.0</v>
      </c>
      <c r="B593" s="2" t="s">
        <v>33</v>
      </c>
      <c r="C593" s="2" t="s">
        <v>35</v>
      </c>
      <c r="D593" s="2" t="s">
        <v>30</v>
      </c>
      <c r="E593" s="2">
        <v>5380.0</v>
      </c>
      <c r="F593" s="2">
        <v>484.2</v>
      </c>
      <c r="G593" s="2">
        <v>0.0</v>
      </c>
      <c r="H593" s="2">
        <v>68.0</v>
      </c>
      <c r="I593" s="2">
        <v>3581.0</v>
      </c>
      <c r="J593" s="2">
        <f t="shared" si="1"/>
        <v>0</v>
      </c>
      <c r="K593" s="2">
        <f t="shared" si="2"/>
        <v>0</v>
      </c>
      <c r="L593" s="2">
        <f t="shared" si="3"/>
        <v>0</v>
      </c>
      <c r="M593" s="2">
        <f t="shared" si="4"/>
        <v>0.1404378356</v>
      </c>
    </row>
    <row r="594" ht="15.75" customHeight="1">
      <c r="A594" s="3">
        <v>44999.0</v>
      </c>
      <c r="B594" s="2" t="s">
        <v>14</v>
      </c>
      <c r="C594" s="2" t="s">
        <v>15</v>
      </c>
      <c r="D594" s="2" t="s">
        <v>24</v>
      </c>
      <c r="E594" s="2">
        <v>5680.0</v>
      </c>
      <c r="F594" s="2">
        <v>170.4</v>
      </c>
      <c r="G594" s="2">
        <v>315.24</v>
      </c>
      <c r="H594" s="2">
        <v>14.0</v>
      </c>
      <c r="I594" s="2">
        <v>4069.0</v>
      </c>
      <c r="J594" s="2">
        <f t="shared" si="1"/>
        <v>1.85</v>
      </c>
      <c r="K594" s="2">
        <f t="shared" si="2"/>
        <v>1.85</v>
      </c>
      <c r="L594" s="2">
        <f t="shared" si="3"/>
        <v>55.5</v>
      </c>
      <c r="M594" s="2">
        <f t="shared" si="4"/>
        <v>0.08215962441</v>
      </c>
    </row>
    <row r="595" ht="15.75" customHeight="1">
      <c r="A595" s="3">
        <v>44999.0</v>
      </c>
      <c r="B595" s="2" t="s">
        <v>14</v>
      </c>
      <c r="C595" s="2" t="s">
        <v>17</v>
      </c>
      <c r="D595" s="2" t="s">
        <v>24</v>
      </c>
      <c r="E595" s="2">
        <v>6415.0</v>
      </c>
      <c r="F595" s="2">
        <v>256.6</v>
      </c>
      <c r="G595" s="2">
        <v>464.4460000000001</v>
      </c>
      <c r="H595" s="2">
        <v>18.0</v>
      </c>
      <c r="I595" s="2">
        <v>4310.0</v>
      </c>
      <c r="J595" s="2">
        <f t="shared" si="1"/>
        <v>1.81</v>
      </c>
      <c r="K595" s="2">
        <f t="shared" si="2"/>
        <v>1.81</v>
      </c>
      <c r="L595" s="2">
        <f t="shared" si="3"/>
        <v>72.4</v>
      </c>
      <c r="M595" s="2">
        <f t="shared" si="4"/>
        <v>0.07014809041</v>
      </c>
    </row>
    <row r="596" ht="15.75" customHeight="1">
      <c r="A596" s="3">
        <v>44999.0</v>
      </c>
      <c r="B596" s="2" t="s">
        <v>20</v>
      </c>
      <c r="C596" s="2" t="s">
        <v>21</v>
      </c>
      <c r="D596" s="2" t="s">
        <v>30</v>
      </c>
      <c r="E596" s="2">
        <v>2102.0</v>
      </c>
      <c r="F596" s="2">
        <v>84.08</v>
      </c>
      <c r="G596" s="2">
        <v>43.7216</v>
      </c>
      <c r="H596" s="2">
        <v>17.0</v>
      </c>
      <c r="I596" s="2">
        <v>1889.0</v>
      </c>
      <c r="J596" s="2">
        <f t="shared" si="1"/>
        <v>0.52</v>
      </c>
      <c r="K596" s="2">
        <f t="shared" si="2"/>
        <v>0.52</v>
      </c>
      <c r="L596" s="2">
        <f t="shared" si="3"/>
        <v>20.8</v>
      </c>
      <c r="M596" s="2">
        <f t="shared" si="4"/>
        <v>0.202188392</v>
      </c>
    </row>
    <row r="597" ht="15.75" customHeight="1">
      <c r="A597" s="3">
        <v>44999.0</v>
      </c>
      <c r="B597" s="2" t="s">
        <v>20</v>
      </c>
      <c r="C597" s="2" t="s">
        <v>23</v>
      </c>
      <c r="D597" s="2" t="s">
        <v>25</v>
      </c>
      <c r="E597" s="2">
        <v>3390.0</v>
      </c>
      <c r="F597" s="2">
        <v>305.09999999999997</v>
      </c>
      <c r="G597" s="2">
        <v>253.23299999999995</v>
      </c>
      <c r="H597" s="2">
        <v>31.0</v>
      </c>
      <c r="I597" s="2">
        <v>3207.0</v>
      </c>
      <c r="J597" s="2">
        <f t="shared" si="1"/>
        <v>0.83</v>
      </c>
      <c r="K597" s="2">
        <f t="shared" si="2"/>
        <v>0.83</v>
      </c>
      <c r="L597" s="2">
        <f t="shared" si="3"/>
        <v>74.7</v>
      </c>
      <c r="M597" s="2">
        <f t="shared" si="4"/>
        <v>0.1016060308</v>
      </c>
    </row>
    <row r="598" ht="15.75" customHeight="1">
      <c r="A598" s="3">
        <v>44999.0</v>
      </c>
      <c r="B598" s="2" t="s">
        <v>26</v>
      </c>
      <c r="C598" s="2" t="s">
        <v>27</v>
      </c>
      <c r="D598" s="2" t="s">
        <v>18</v>
      </c>
      <c r="E598" s="2">
        <v>10338.0</v>
      </c>
      <c r="F598" s="2">
        <v>516.9</v>
      </c>
      <c r="G598" s="2">
        <v>873.5609999999999</v>
      </c>
      <c r="H598" s="2">
        <v>67.0</v>
      </c>
      <c r="I598" s="2">
        <v>2674.0</v>
      </c>
      <c r="J598" s="2">
        <f t="shared" si="1"/>
        <v>1.69</v>
      </c>
      <c r="K598" s="2">
        <f t="shared" si="2"/>
        <v>1.69</v>
      </c>
      <c r="L598" s="2">
        <f t="shared" si="3"/>
        <v>84.5</v>
      </c>
      <c r="M598" s="2">
        <f t="shared" si="4"/>
        <v>0.1296188818</v>
      </c>
    </row>
    <row r="599" ht="15.75" customHeight="1">
      <c r="A599" s="3">
        <v>44999.0</v>
      </c>
      <c r="B599" s="2" t="s">
        <v>26</v>
      </c>
      <c r="C599" s="2" t="s">
        <v>31</v>
      </c>
      <c r="D599" s="2" t="s">
        <v>18</v>
      </c>
      <c r="E599" s="2">
        <v>12967.0</v>
      </c>
      <c r="F599" s="2">
        <v>1167.03</v>
      </c>
      <c r="G599" s="2">
        <v>1563.8202</v>
      </c>
      <c r="H599" s="2">
        <v>117.0</v>
      </c>
      <c r="I599" s="2">
        <v>3778.0</v>
      </c>
      <c r="J599" s="2">
        <f t="shared" si="1"/>
        <v>1.34</v>
      </c>
      <c r="K599" s="2">
        <f t="shared" si="2"/>
        <v>1.34</v>
      </c>
      <c r="L599" s="2">
        <f t="shared" si="3"/>
        <v>120.6</v>
      </c>
      <c r="M599" s="2">
        <f t="shared" si="4"/>
        <v>0.1002544922</v>
      </c>
    </row>
    <row r="600" ht="15.75" customHeight="1">
      <c r="A600" s="3">
        <v>44999.0</v>
      </c>
      <c r="B600" s="2" t="s">
        <v>33</v>
      </c>
      <c r="C600" s="2" t="s">
        <v>34</v>
      </c>
      <c r="D600" s="2" t="s">
        <v>19</v>
      </c>
      <c r="E600" s="2">
        <v>3575.0</v>
      </c>
      <c r="F600" s="2">
        <v>178.75</v>
      </c>
      <c r="G600" s="2">
        <v>0.0</v>
      </c>
      <c r="H600" s="2">
        <v>34.0</v>
      </c>
      <c r="I600" s="2">
        <v>4493.0</v>
      </c>
      <c r="J600" s="2">
        <f t="shared" si="1"/>
        <v>0</v>
      </c>
      <c r="K600" s="2">
        <f t="shared" si="2"/>
        <v>0</v>
      </c>
      <c r="L600" s="2">
        <f t="shared" si="3"/>
        <v>0</v>
      </c>
      <c r="M600" s="2">
        <f t="shared" si="4"/>
        <v>0.1902097902</v>
      </c>
    </row>
    <row r="601" ht="15.75" customHeight="1">
      <c r="A601" s="3">
        <v>44999.0</v>
      </c>
      <c r="B601" s="2" t="s">
        <v>33</v>
      </c>
      <c r="C601" s="2" t="s">
        <v>35</v>
      </c>
      <c r="D601" s="2" t="s">
        <v>13</v>
      </c>
      <c r="E601" s="2">
        <v>2431.0</v>
      </c>
      <c r="F601" s="2">
        <v>218.79</v>
      </c>
      <c r="G601" s="2">
        <v>0.0</v>
      </c>
      <c r="H601" s="2">
        <v>26.0</v>
      </c>
      <c r="I601" s="2">
        <v>4791.0</v>
      </c>
      <c r="J601" s="2">
        <f t="shared" si="1"/>
        <v>0</v>
      </c>
      <c r="K601" s="2">
        <f t="shared" si="2"/>
        <v>0</v>
      </c>
      <c r="L601" s="2">
        <f t="shared" si="3"/>
        <v>0</v>
      </c>
      <c r="M601" s="2">
        <f t="shared" si="4"/>
        <v>0.118835413</v>
      </c>
    </row>
    <row r="602" ht="15.75" customHeight="1">
      <c r="A602" s="3">
        <v>45000.0</v>
      </c>
      <c r="B602" s="2" t="s">
        <v>14</v>
      </c>
      <c r="C602" s="2" t="s">
        <v>15</v>
      </c>
      <c r="D602" s="2" t="s">
        <v>22</v>
      </c>
      <c r="E602" s="2">
        <v>9944.0</v>
      </c>
      <c r="F602" s="2">
        <v>497.20000000000005</v>
      </c>
      <c r="G602" s="2">
        <v>676.1920000000001</v>
      </c>
      <c r="H602" s="2">
        <v>70.0</v>
      </c>
      <c r="I602" s="2">
        <v>4514.0</v>
      </c>
      <c r="J602" s="2">
        <f t="shared" si="1"/>
        <v>1.36</v>
      </c>
      <c r="K602" s="2">
        <f t="shared" si="2"/>
        <v>1.36</v>
      </c>
      <c r="L602" s="2">
        <f t="shared" si="3"/>
        <v>68</v>
      </c>
      <c r="M602" s="2">
        <f t="shared" si="4"/>
        <v>0.1407884151</v>
      </c>
    </row>
    <row r="603" ht="15.75" customHeight="1">
      <c r="A603" s="3">
        <v>45000.0</v>
      </c>
      <c r="B603" s="2" t="s">
        <v>14</v>
      </c>
      <c r="C603" s="2" t="s">
        <v>17</v>
      </c>
      <c r="D603" s="2" t="s">
        <v>30</v>
      </c>
      <c r="E603" s="2">
        <v>10065.0</v>
      </c>
      <c r="F603" s="2">
        <v>603.9</v>
      </c>
      <c r="G603" s="2">
        <v>253.63799999999998</v>
      </c>
      <c r="H603" s="2">
        <v>85.0</v>
      </c>
      <c r="I603" s="2">
        <v>4024.0</v>
      </c>
      <c r="J603" s="2">
        <f t="shared" si="1"/>
        <v>0.42</v>
      </c>
      <c r="K603" s="2">
        <f t="shared" si="2"/>
        <v>0.42</v>
      </c>
      <c r="L603" s="2">
        <f t="shared" si="3"/>
        <v>25.2</v>
      </c>
      <c r="M603" s="2">
        <f t="shared" si="4"/>
        <v>0.1407517801</v>
      </c>
    </row>
    <row r="604" ht="15.75" customHeight="1">
      <c r="A604" s="3">
        <v>45000.0</v>
      </c>
      <c r="B604" s="2" t="s">
        <v>20</v>
      </c>
      <c r="C604" s="2" t="s">
        <v>21</v>
      </c>
      <c r="D604" s="2" t="s">
        <v>24</v>
      </c>
      <c r="E604" s="2">
        <v>3726.0</v>
      </c>
      <c r="F604" s="2">
        <v>74.52</v>
      </c>
      <c r="G604" s="2">
        <v>27.5724</v>
      </c>
      <c r="H604" s="2">
        <v>10.0</v>
      </c>
      <c r="I604" s="2">
        <v>4667.0</v>
      </c>
      <c r="J604" s="2">
        <f t="shared" si="1"/>
        <v>0.37</v>
      </c>
      <c r="K604" s="2">
        <f t="shared" si="2"/>
        <v>0.37</v>
      </c>
      <c r="L604" s="2">
        <f t="shared" si="3"/>
        <v>7.4</v>
      </c>
      <c r="M604" s="2">
        <f t="shared" si="4"/>
        <v>0.1341921632</v>
      </c>
    </row>
    <row r="605" ht="15.75" customHeight="1">
      <c r="A605" s="3">
        <v>45000.0</v>
      </c>
      <c r="B605" s="2" t="s">
        <v>20</v>
      </c>
      <c r="C605" s="2" t="s">
        <v>23</v>
      </c>
      <c r="D605" s="2" t="s">
        <v>30</v>
      </c>
      <c r="E605" s="2">
        <v>5936.0</v>
      </c>
      <c r="F605" s="2">
        <v>356.15999999999997</v>
      </c>
      <c r="G605" s="2">
        <v>519.9935999999999</v>
      </c>
      <c r="H605" s="2">
        <v>71.0</v>
      </c>
      <c r="I605" s="2">
        <v>2992.0</v>
      </c>
      <c r="J605" s="2">
        <f t="shared" si="1"/>
        <v>1.46</v>
      </c>
      <c r="K605" s="2">
        <f t="shared" si="2"/>
        <v>1.46</v>
      </c>
      <c r="L605" s="2">
        <f t="shared" si="3"/>
        <v>87.6</v>
      </c>
      <c r="M605" s="2">
        <f t="shared" si="4"/>
        <v>0.1993486074</v>
      </c>
    </row>
    <row r="606" ht="15.75" customHeight="1">
      <c r="A606" s="3">
        <v>45000.0</v>
      </c>
      <c r="B606" s="2" t="s">
        <v>26</v>
      </c>
      <c r="C606" s="2" t="s">
        <v>27</v>
      </c>
      <c r="D606" s="2" t="s">
        <v>22</v>
      </c>
      <c r="E606" s="2">
        <v>9475.0</v>
      </c>
      <c r="F606" s="2">
        <v>947.5</v>
      </c>
      <c r="G606" s="2">
        <v>909.6</v>
      </c>
      <c r="H606" s="2">
        <v>180.0</v>
      </c>
      <c r="I606" s="2">
        <v>3185.0</v>
      </c>
      <c r="J606" s="2">
        <f t="shared" si="1"/>
        <v>0.96</v>
      </c>
      <c r="K606" s="2">
        <f t="shared" si="2"/>
        <v>0.96</v>
      </c>
      <c r="L606" s="2">
        <f t="shared" si="3"/>
        <v>96</v>
      </c>
      <c r="M606" s="2">
        <f t="shared" si="4"/>
        <v>0.1899736148</v>
      </c>
    </row>
    <row r="607" ht="15.75" customHeight="1">
      <c r="A607" s="3">
        <v>45000.0</v>
      </c>
      <c r="B607" s="2" t="s">
        <v>26</v>
      </c>
      <c r="C607" s="2" t="s">
        <v>31</v>
      </c>
      <c r="D607" s="2" t="s">
        <v>28</v>
      </c>
      <c r="E607" s="2">
        <v>8075.0</v>
      </c>
      <c r="F607" s="2">
        <v>807.5</v>
      </c>
      <c r="G607" s="2">
        <v>855.95</v>
      </c>
      <c r="H607" s="2">
        <v>48.0</v>
      </c>
      <c r="I607" s="2">
        <v>4857.0</v>
      </c>
      <c r="J607" s="2">
        <f t="shared" si="1"/>
        <v>1.06</v>
      </c>
      <c r="K607" s="2">
        <f t="shared" si="2"/>
        <v>1.06</v>
      </c>
      <c r="L607" s="2">
        <f t="shared" si="3"/>
        <v>106</v>
      </c>
      <c r="M607" s="2">
        <f t="shared" si="4"/>
        <v>0.05944272446</v>
      </c>
    </row>
    <row r="608" ht="15.75" customHeight="1">
      <c r="A608" s="3">
        <v>45000.0</v>
      </c>
      <c r="B608" s="2" t="s">
        <v>33</v>
      </c>
      <c r="C608" s="2" t="s">
        <v>34</v>
      </c>
      <c r="D608" s="2" t="s">
        <v>22</v>
      </c>
      <c r="E608" s="2">
        <v>4521.0</v>
      </c>
      <c r="F608" s="2">
        <v>180.84</v>
      </c>
      <c r="G608" s="2">
        <v>0.0</v>
      </c>
      <c r="H608" s="2">
        <v>33.0</v>
      </c>
      <c r="I608" s="2">
        <v>1577.0</v>
      </c>
      <c r="J608" s="2">
        <f t="shared" si="1"/>
        <v>0</v>
      </c>
      <c r="K608" s="2">
        <f t="shared" si="2"/>
        <v>0</v>
      </c>
      <c r="L608" s="2">
        <f t="shared" si="3"/>
        <v>0</v>
      </c>
      <c r="M608" s="2">
        <f t="shared" si="4"/>
        <v>0.1824817518</v>
      </c>
    </row>
    <row r="609" ht="15.75" customHeight="1">
      <c r="A609" s="3">
        <v>45000.0</v>
      </c>
      <c r="B609" s="2" t="s">
        <v>33</v>
      </c>
      <c r="C609" s="2" t="s">
        <v>35</v>
      </c>
      <c r="D609" s="2" t="s">
        <v>13</v>
      </c>
      <c r="E609" s="2">
        <v>2654.0</v>
      </c>
      <c r="F609" s="2">
        <v>159.23999999999998</v>
      </c>
      <c r="G609" s="2">
        <v>0.0</v>
      </c>
      <c r="H609" s="2">
        <v>27.0</v>
      </c>
      <c r="I609" s="2">
        <v>1134.0</v>
      </c>
      <c r="J609" s="2">
        <f t="shared" si="1"/>
        <v>0</v>
      </c>
      <c r="K609" s="2">
        <f t="shared" si="2"/>
        <v>0</v>
      </c>
      <c r="L609" s="2">
        <f t="shared" si="3"/>
        <v>0</v>
      </c>
      <c r="M609" s="2">
        <f t="shared" si="4"/>
        <v>0.1695553881</v>
      </c>
    </row>
    <row r="610" ht="15.75" customHeight="1">
      <c r="A610" s="3">
        <v>45001.0</v>
      </c>
      <c r="B610" s="2" t="s">
        <v>14</v>
      </c>
      <c r="C610" s="2" t="s">
        <v>15</v>
      </c>
      <c r="D610" s="2" t="s">
        <v>18</v>
      </c>
      <c r="E610" s="2">
        <v>10966.0</v>
      </c>
      <c r="F610" s="2">
        <v>877.28</v>
      </c>
      <c r="G610" s="2">
        <v>1754.56</v>
      </c>
      <c r="H610" s="2">
        <v>132.0</v>
      </c>
      <c r="I610" s="2">
        <v>1737.0</v>
      </c>
      <c r="J610" s="2">
        <f t="shared" si="1"/>
        <v>2</v>
      </c>
      <c r="K610" s="2">
        <f t="shared" si="2"/>
        <v>2</v>
      </c>
      <c r="L610" s="2">
        <f t="shared" si="3"/>
        <v>160</v>
      </c>
      <c r="M610" s="2">
        <f t="shared" si="4"/>
        <v>0.1504650739</v>
      </c>
    </row>
    <row r="611" ht="15.75" customHeight="1">
      <c r="A611" s="3">
        <v>45001.0</v>
      </c>
      <c r="B611" s="2" t="s">
        <v>14</v>
      </c>
      <c r="C611" s="2" t="s">
        <v>17</v>
      </c>
      <c r="D611" s="2" t="s">
        <v>30</v>
      </c>
      <c r="E611" s="2">
        <v>7749.0</v>
      </c>
      <c r="F611" s="2">
        <v>232.47</v>
      </c>
      <c r="G611" s="2">
        <v>158.0796</v>
      </c>
      <c r="H611" s="2">
        <v>35.0</v>
      </c>
      <c r="I611" s="2">
        <v>562.0</v>
      </c>
      <c r="J611" s="2">
        <f t="shared" si="1"/>
        <v>0.68</v>
      </c>
      <c r="K611" s="2">
        <f t="shared" si="2"/>
        <v>0.68</v>
      </c>
      <c r="L611" s="2">
        <f t="shared" si="3"/>
        <v>20.4</v>
      </c>
      <c r="M611" s="2">
        <f t="shared" si="4"/>
        <v>0.1505570611</v>
      </c>
    </row>
    <row r="612" ht="15.75" customHeight="1">
      <c r="A612" s="3">
        <v>45001.0</v>
      </c>
      <c r="B612" s="2" t="s">
        <v>20</v>
      </c>
      <c r="C612" s="2" t="s">
        <v>21</v>
      </c>
      <c r="D612" s="2" t="s">
        <v>32</v>
      </c>
      <c r="E612" s="2">
        <v>2775.0</v>
      </c>
      <c r="F612" s="2">
        <v>194.25000000000003</v>
      </c>
      <c r="G612" s="2">
        <v>137.91750000000002</v>
      </c>
      <c r="H612" s="2">
        <v>17.0</v>
      </c>
      <c r="I612" s="2">
        <v>4965.0</v>
      </c>
      <c r="J612" s="2">
        <f t="shared" si="1"/>
        <v>0.71</v>
      </c>
      <c r="K612" s="2">
        <f t="shared" si="2"/>
        <v>0.71</v>
      </c>
      <c r="L612" s="2">
        <f t="shared" si="3"/>
        <v>49.7</v>
      </c>
      <c r="M612" s="2">
        <f t="shared" si="4"/>
        <v>0.08751608752</v>
      </c>
    </row>
    <row r="613" ht="15.75" customHeight="1">
      <c r="A613" s="3">
        <v>45001.0</v>
      </c>
      <c r="B613" s="2" t="s">
        <v>20</v>
      </c>
      <c r="C613" s="2" t="s">
        <v>23</v>
      </c>
      <c r="D613" s="2" t="s">
        <v>25</v>
      </c>
      <c r="E613" s="2">
        <v>2185.0</v>
      </c>
      <c r="F613" s="2">
        <v>43.7</v>
      </c>
      <c r="G613" s="2">
        <v>46.322</v>
      </c>
      <c r="H613" s="2">
        <v>3.0</v>
      </c>
      <c r="I613" s="2">
        <v>2987.0</v>
      </c>
      <c r="J613" s="2">
        <f t="shared" si="1"/>
        <v>1.06</v>
      </c>
      <c r="K613" s="2">
        <f t="shared" si="2"/>
        <v>1.06</v>
      </c>
      <c r="L613" s="2">
        <f t="shared" si="3"/>
        <v>21.2</v>
      </c>
      <c r="M613" s="2">
        <f t="shared" si="4"/>
        <v>0.06864988558</v>
      </c>
    </row>
    <row r="614" ht="15.75" customHeight="1">
      <c r="A614" s="3">
        <v>45001.0</v>
      </c>
      <c r="B614" s="2" t="s">
        <v>26</v>
      </c>
      <c r="C614" s="2" t="s">
        <v>27</v>
      </c>
      <c r="D614" s="2" t="s">
        <v>30</v>
      </c>
      <c r="E614" s="2">
        <v>10067.0</v>
      </c>
      <c r="F614" s="2">
        <v>503.35</v>
      </c>
      <c r="G614" s="2">
        <v>775.1590000000001</v>
      </c>
      <c r="H614" s="2">
        <v>25.0</v>
      </c>
      <c r="I614" s="2">
        <v>792.0</v>
      </c>
      <c r="J614" s="2">
        <f t="shared" si="1"/>
        <v>1.54</v>
      </c>
      <c r="K614" s="2">
        <f t="shared" si="2"/>
        <v>1.54</v>
      </c>
      <c r="L614" s="2">
        <f t="shared" si="3"/>
        <v>77</v>
      </c>
      <c r="M614" s="2">
        <f t="shared" si="4"/>
        <v>0.04966722956</v>
      </c>
    </row>
    <row r="615" ht="15.75" customHeight="1">
      <c r="A615" s="3">
        <v>45001.0</v>
      </c>
      <c r="B615" s="2" t="s">
        <v>26</v>
      </c>
      <c r="C615" s="2" t="s">
        <v>31</v>
      </c>
      <c r="D615" s="2" t="s">
        <v>19</v>
      </c>
      <c r="E615" s="2">
        <v>12793.0</v>
      </c>
      <c r="F615" s="2">
        <v>895.5100000000001</v>
      </c>
      <c r="G615" s="2">
        <v>1432.8160000000003</v>
      </c>
      <c r="H615" s="2">
        <v>107.0</v>
      </c>
      <c r="I615" s="2">
        <v>2310.0</v>
      </c>
      <c r="J615" s="2">
        <f t="shared" si="1"/>
        <v>1.6</v>
      </c>
      <c r="K615" s="2">
        <f t="shared" si="2"/>
        <v>1.6</v>
      </c>
      <c r="L615" s="2">
        <f t="shared" si="3"/>
        <v>112</v>
      </c>
      <c r="M615" s="2">
        <f t="shared" si="4"/>
        <v>0.1194849862</v>
      </c>
    </row>
    <row r="616" ht="15.75" customHeight="1">
      <c r="A616" s="3">
        <v>45001.0</v>
      </c>
      <c r="B616" s="2" t="s">
        <v>33</v>
      </c>
      <c r="C616" s="2" t="s">
        <v>34</v>
      </c>
      <c r="D616" s="2" t="s">
        <v>19</v>
      </c>
      <c r="E616" s="2">
        <v>2284.0</v>
      </c>
      <c r="F616" s="2">
        <v>205.56</v>
      </c>
      <c r="G616" s="2">
        <v>0.0</v>
      </c>
      <c r="H616" s="2">
        <v>14.0</v>
      </c>
      <c r="I616" s="2">
        <v>2282.0</v>
      </c>
      <c r="J616" s="2">
        <f t="shared" si="1"/>
        <v>0</v>
      </c>
      <c r="K616" s="2">
        <f t="shared" si="2"/>
        <v>0</v>
      </c>
      <c r="L616" s="2">
        <f t="shared" si="3"/>
        <v>0</v>
      </c>
      <c r="M616" s="2">
        <f t="shared" si="4"/>
        <v>0.06810663553</v>
      </c>
    </row>
    <row r="617" ht="15.75" customHeight="1">
      <c r="A617" s="3">
        <v>45001.0</v>
      </c>
      <c r="B617" s="2" t="s">
        <v>33</v>
      </c>
      <c r="C617" s="2" t="s">
        <v>35</v>
      </c>
      <c r="D617" s="2" t="s">
        <v>25</v>
      </c>
      <c r="E617" s="2">
        <v>2557.0</v>
      </c>
      <c r="F617" s="2">
        <v>230.13</v>
      </c>
      <c r="G617" s="2">
        <v>0.0</v>
      </c>
      <c r="H617" s="2">
        <v>41.0</v>
      </c>
      <c r="I617" s="2">
        <v>3984.0</v>
      </c>
      <c r="J617" s="2">
        <f t="shared" si="1"/>
        <v>0</v>
      </c>
      <c r="K617" s="2">
        <f t="shared" si="2"/>
        <v>0</v>
      </c>
      <c r="L617" s="2">
        <f t="shared" si="3"/>
        <v>0</v>
      </c>
      <c r="M617" s="2">
        <f t="shared" si="4"/>
        <v>0.1781601703</v>
      </c>
    </row>
    <row r="618" ht="15.75" customHeight="1">
      <c r="A618" s="3">
        <v>45002.0</v>
      </c>
      <c r="B618" s="2" t="s">
        <v>14</v>
      </c>
      <c r="C618" s="2" t="s">
        <v>15</v>
      </c>
      <c r="D618" s="2" t="s">
        <v>13</v>
      </c>
      <c r="E618" s="2">
        <v>7447.0</v>
      </c>
      <c r="F618" s="2">
        <v>446.82</v>
      </c>
      <c r="G618" s="2">
        <v>196.6008</v>
      </c>
      <c r="H618" s="2">
        <v>22.0</v>
      </c>
      <c r="I618" s="2">
        <v>2649.0</v>
      </c>
      <c r="J618" s="2">
        <f t="shared" si="1"/>
        <v>0.44</v>
      </c>
      <c r="K618" s="2">
        <f t="shared" si="2"/>
        <v>0.44</v>
      </c>
      <c r="L618" s="2">
        <f t="shared" si="3"/>
        <v>26.4</v>
      </c>
      <c r="M618" s="2">
        <f t="shared" si="4"/>
        <v>0.04923682915</v>
      </c>
    </row>
    <row r="619" ht="15.75" customHeight="1">
      <c r="A619" s="3">
        <v>45002.0</v>
      </c>
      <c r="B619" s="2" t="s">
        <v>14</v>
      </c>
      <c r="C619" s="2" t="s">
        <v>17</v>
      </c>
      <c r="D619" s="2" t="s">
        <v>19</v>
      </c>
      <c r="E619" s="2">
        <v>8565.0</v>
      </c>
      <c r="F619" s="2">
        <v>171.3</v>
      </c>
      <c r="G619" s="2">
        <v>226.116</v>
      </c>
      <c r="H619" s="2">
        <v>31.0</v>
      </c>
      <c r="I619" s="2">
        <v>2341.0</v>
      </c>
      <c r="J619" s="2">
        <f t="shared" si="1"/>
        <v>1.32</v>
      </c>
      <c r="K619" s="2">
        <f t="shared" si="2"/>
        <v>1.32</v>
      </c>
      <c r="L619" s="2">
        <f t="shared" si="3"/>
        <v>26.4</v>
      </c>
      <c r="M619" s="2">
        <f t="shared" si="4"/>
        <v>0.1809690601</v>
      </c>
    </row>
    <row r="620" ht="15.75" customHeight="1">
      <c r="A620" s="3">
        <v>45002.0</v>
      </c>
      <c r="B620" s="2" t="s">
        <v>20</v>
      </c>
      <c r="C620" s="2" t="s">
        <v>21</v>
      </c>
      <c r="D620" s="2" t="s">
        <v>19</v>
      </c>
      <c r="E620" s="2">
        <v>2075.0</v>
      </c>
      <c r="F620" s="2">
        <v>62.25</v>
      </c>
      <c r="G620" s="2">
        <v>67.8525</v>
      </c>
      <c r="H620" s="2">
        <v>4.0</v>
      </c>
      <c r="I620" s="2">
        <v>4165.0</v>
      </c>
      <c r="J620" s="2">
        <f t="shared" si="1"/>
        <v>1.09</v>
      </c>
      <c r="K620" s="2">
        <f t="shared" si="2"/>
        <v>1.09</v>
      </c>
      <c r="L620" s="2">
        <f t="shared" si="3"/>
        <v>32.7</v>
      </c>
      <c r="M620" s="2">
        <f t="shared" si="4"/>
        <v>0.06425702811</v>
      </c>
    </row>
    <row r="621" ht="15.75" customHeight="1">
      <c r="A621" s="3">
        <v>45002.0</v>
      </c>
      <c r="B621" s="2" t="s">
        <v>20</v>
      </c>
      <c r="C621" s="2" t="s">
        <v>23</v>
      </c>
      <c r="D621" s="2" t="s">
        <v>18</v>
      </c>
      <c r="E621" s="2">
        <v>4112.0</v>
      </c>
      <c r="F621" s="2">
        <v>205.60000000000002</v>
      </c>
      <c r="G621" s="2">
        <v>180.92800000000003</v>
      </c>
      <c r="H621" s="2">
        <v>19.0</v>
      </c>
      <c r="I621" s="2">
        <v>3863.0</v>
      </c>
      <c r="J621" s="2">
        <f t="shared" si="1"/>
        <v>0.88</v>
      </c>
      <c r="K621" s="2">
        <f t="shared" si="2"/>
        <v>0.88</v>
      </c>
      <c r="L621" s="2">
        <f t="shared" si="3"/>
        <v>44</v>
      </c>
      <c r="M621" s="2">
        <f t="shared" si="4"/>
        <v>0.09241245136</v>
      </c>
    </row>
    <row r="622" ht="15.75" customHeight="1">
      <c r="A622" s="3">
        <v>45002.0</v>
      </c>
      <c r="B622" s="2" t="s">
        <v>26</v>
      </c>
      <c r="C622" s="2" t="s">
        <v>27</v>
      </c>
      <c r="D622" s="2" t="s">
        <v>25</v>
      </c>
      <c r="E622" s="2">
        <v>8044.0</v>
      </c>
      <c r="F622" s="2">
        <v>804.4000000000001</v>
      </c>
      <c r="G622" s="2">
        <v>265.45200000000006</v>
      </c>
      <c r="H622" s="2">
        <v>64.0</v>
      </c>
      <c r="I622" s="2">
        <v>2179.0</v>
      </c>
      <c r="J622" s="2">
        <f t="shared" si="1"/>
        <v>0.33</v>
      </c>
      <c r="K622" s="2">
        <f t="shared" si="2"/>
        <v>0.33</v>
      </c>
      <c r="L622" s="2">
        <f t="shared" si="3"/>
        <v>33</v>
      </c>
      <c r="M622" s="2">
        <f t="shared" si="4"/>
        <v>0.07956240676</v>
      </c>
    </row>
    <row r="623" ht="15.75" customHeight="1">
      <c r="A623" s="3">
        <v>45002.0</v>
      </c>
      <c r="B623" s="2" t="s">
        <v>26</v>
      </c>
      <c r="C623" s="2" t="s">
        <v>31</v>
      </c>
      <c r="D623" s="2" t="s">
        <v>32</v>
      </c>
      <c r="E623" s="2">
        <v>11098.0</v>
      </c>
      <c r="F623" s="2">
        <v>665.88</v>
      </c>
      <c r="G623" s="2">
        <v>712.4916000000001</v>
      </c>
      <c r="H623" s="2">
        <v>67.0</v>
      </c>
      <c r="I623" s="2">
        <v>3588.0</v>
      </c>
      <c r="J623" s="2">
        <f t="shared" si="1"/>
        <v>1.07</v>
      </c>
      <c r="K623" s="2">
        <f t="shared" si="2"/>
        <v>1.07</v>
      </c>
      <c r="L623" s="2">
        <f t="shared" si="3"/>
        <v>64.2</v>
      </c>
      <c r="M623" s="2">
        <f t="shared" si="4"/>
        <v>0.1006187301</v>
      </c>
    </row>
    <row r="624" ht="15.75" customHeight="1">
      <c r="A624" s="3">
        <v>45002.0</v>
      </c>
      <c r="B624" s="2" t="s">
        <v>33</v>
      </c>
      <c r="C624" s="2" t="s">
        <v>34</v>
      </c>
      <c r="D624" s="2" t="s">
        <v>16</v>
      </c>
      <c r="E624" s="2">
        <v>5914.0</v>
      </c>
      <c r="F624" s="2">
        <v>354.84</v>
      </c>
      <c r="G624" s="2">
        <v>0.0</v>
      </c>
      <c r="H624" s="2">
        <v>60.0</v>
      </c>
      <c r="I624" s="2">
        <v>240.0</v>
      </c>
      <c r="J624" s="2">
        <f t="shared" si="1"/>
        <v>0</v>
      </c>
      <c r="K624" s="2">
        <f t="shared" si="2"/>
        <v>0</v>
      </c>
      <c r="L624" s="2">
        <f t="shared" si="3"/>
        <v>0</v>
      </c>
      <c r="M624" s="2">
        <f t="shared" si="4"/>
        <v>0.1690902942</v>
      </c>
    </row>
    <row r="625" ht="15.75" customHeight="1">
      <c r="A625" s="3">
        <v>45002.0</v>
      </c>
      <c r="B625" s="2" t="s">
        <v>33</v>
      </c>
      <c r="C625" s="2" t="s">
        <v>35</v>
      </c>
      <c r="D625" s="2" t="s">
        <v>18</v>
      </c>
      <c r="E625" s="2">
        <v>3720.0</v>
      </c>
      <c r="F625" s="2">
        <v>223.2</v>
      </c>
      <c r="G625" s="2">
        <v>0.0</v>
      </c>
      <c r="H625" s="2">
        <v>45.0</v>
      </c>
      <c r="I625" s="2">
        <v>1915.0</v>
      </c>
      <c r="J625" s="2">
        <f t="shared" si="1"/>
        <v>0</v>
      </c>
      <c r="K625" s="2">
        <f t="shared" si="2"/>
        <v>0</v>
      </c>
      <c r="L625" s="2">
        <f t="shared" si="3"/>
        <v>0</v>
      </c>
      <c r="M625" s="2">
        <f t="shared" si="4"/>
        <v>0.2016129032</v>
      </c>
    </row>
    <row r="626" ht="15.75" customHeight="1">
      <c r="A626" s="3">
        <v>45003.0</v>
      </c>
      <c r="B626" s="2" t="s">
        <v>14</v>
      </c>
      <c r="C626" s="2" t="s">
        <v>15</v>
      </c>
      <c r="D626" s="2" t="s">
        <v>13</v>
      </c>
      <c r="E626" s="2">
        <v>6696.0</v>
      </c>
      <c r="F626" s="2">
        <v>535.6800000000001</v>
      </c>
      <c r="G626" s="2">
        <v>348.19200000000006</v>
      </c>
      <c r="H626" s="2">
        <v>102.0</v>
      </c>
      <c r="I626" s="2">
        <v>2620.0</v>
      </c>
      <c r="J626" s="2">
        <f t="shared" si="1"/>
        <v>0.65</v>
      </c>
      <c r="K626" s="2">
        <f t="shared" si="2"/>
        <v>0.65</v>
      </c>
      <c r="L626" s="2">
        <f t="shared" si="3"/>
        <v>52</v>
      </c>
      <c r="M626" s="2">
        <f t="shared" si="4"/>
        <v>0.1904121864</v>
      </c>
    </row>
    <row r="627" ht="15.75" customHeight="1">
      <c r="A627" s="3">
        <v>45003.0</v>
      </c>
      <c r="B627" s="2" t="s">
        <v>14</v>
      </c>
      <c r="C627" s="2" t="s">
        <v>17</v>
      </c>
      <c r="D627" s="2" t="s">
        <v>22</v>
      </c>
      <c r="E627" s="2">
        <v>6638.0</v>
      </c>
      <c r="F627" s="2">
        <v>464.66</v>
      </c>
      <c r="G627" s="2">
        <v>260.2096</v>
      </c>
      <c r="H627" s="2">
        <v>37.0</v>
      </c>
      <c r="I627" s="2">
        <v>771.0</v>
      </c>
      <c r="J627" s="2">
        <f t="shared" si="1"/>
        <v>0.56</v>
      </c>
      <c r="K627" s="2">
        <f t="shared" si="2"/>
        <v>0.56</v>
      </c>
      <c r="L627" s="2">
        <f t="shared" si="3"/>
        <v>39.2</v>
      </c>
      <c r="M627" s="2">
        <f t="shared" si="4"/>
        <v>0.07962811518</v>
      </c>
    </row>
    <row r="628" ht="15.75" customHeight="1">
      <c r="A628" s="3">
        <v>45003.0</v>
      </c>
      <c r="B628" s="2" t="s">
        <v>20</v>
      </c>
      <c r="C628" s="2" t="s">
        <v>21</v>
      </c>
      <c r="D628" s="2" t="s">
        <v>18</v>
      </c>
      <c r="E628" s="2">
        <v>4653.0</v>
      </c>
      <c r="F628" s="2">
        <v>139.59</v>
      </c>
      <c r="G628" s="2">
        <v>82.3581</v>
      </c>
      <c r="H628" s="2">
        <v>15.0</v>
      </c>
      <c r="I628" s="2">
        <v>3535.0</v>
      </c>
      <c r="J628" s="2">
        <f t="shared" si="1"/>
        <v>0.59</v>
      </c>
      <c r="K628" s="2">
        <f t="shared" si="2"/>
        <v>0.59</v>
      </c>
      <c r="L628" s="2">
        <f t="shared" si="3"/>
        <v>17.7</v>
      </c>
      <c r="M628" s="2">
        <f t="shared" si="4"/>
        <v>0.1074575543</v>
      </c>
    </row>
    <row r="629" ht="15.75" customHeight="1">
      <c r="A629" s="3">
        <v>45003.0</v>
      </c>
      <c r="B629" s="2" t="s">
        <v>20</v>
      </c>
      <c r="C629" s="2" t="s">
        <v>23</v>
      </c>
      <c r="D629" s="2" t="s">
        <v>13</v>
      </c>
      <c r="E629" s="2">
        <v>3010.0</v>
      </c>
      <c r="F629" s="2">
        <v>90.3</v>
      </c>
      <c r="G629" s="2">
        <v>59.598</v>
      </c>
      <c r="H629" s="2">
        <v>18.0</v>
      </c>
      <c r="I629" s="2">
        <v>3555.0</v>
      </c>
      <c r="J629" s="2">
        <f t="shared" si="1"/>
        <v>0.66</v>
      </c>
      <c r="K629" s="2">
        <f t="shared" si="2"/>
        <v>0.66</v>
      </c>
      <c r="L629" s="2">
        <f t="shared" si="3"/>
        <v>19.8</v>
      </c>
      <c r="M629" s="2">
        <f t="shared" si="4"/>
        <v>0.1993355482</v>
      </c>
    </row>
    <row r="630" ht="15.75" customHeight="1">
      <c r="A630" s="3">
        <v>45003.0</v>
      </c>
      <c r="B630" s="2" t="s">
        <v>26</v>
      </c>
      <c r="C630" s="2" t="s">
        <v>27</v>
      </c>
      <c r="D630" s="2" t="s">
        <v>30</v>
      </c>
      <c r="E630" s="2">
        <v>14370.0</v>
      </c>
      <c r="F630" s="2">
        <v>1005.9000000000001</v>
      </c>
      <c r="G630" s="2">
        <v>1277.4930000000002</v>
      </c>
      <c r="H630" s="2">
        <v>191.0</v>
      </c>
      <c r="I630" s="2">
        <v>1652.0</v>
      </c>
      <c r="J630" s="2">
        <f t="shared" si="1"/>
        <v>1.27</v>
      </c>
      <c r="K630" s="2">
        <f t="shared" si="2"/>
        <v>1.27</v>
      </c>
      <c r="L630" s="2">
        <f t="shared" si="3"/>
        <v>88.9</v>
      </c>
      <c r="M630" s="2">
        <f t="shared" si="4"/>
        <v>0.1898797097</v>
      </c>
    </row>
    <row r="631" ht="15.75" customHeight="1">
      <c r="A631" s="3">
        <v>45003.0</v>
      </c>
      <c r="B631" s="2" t="s">
        <v>26</v>
      </c>
      <c r="C631" s="2" t="s">
        <v>31</v>
      </c>
      <c r="D631" s="2" t="s">
        <v>22</v>
      </c>
      <c r="E631" s="2">
        <v>8731.0</v>
      </c>
      <c r="F631" s="2">
        <v>785.79</v>
      </c>
      <c r="G631" s="2">
        <v>832.9374</v>
      </c>
      <c r="H631" s="2">
        <v>157.0</v>
      </c>
      <c r="I631" s="2">
        <v>2549.0</v>
      </c>
      <c r="J631" s="2">
        <f t="shared" si="1"/>
        <v>1.06</v>
      </c>
      <c r="K631" s="2">
        <f t="shared" si="2"/>
        <v>1.06</v>
      </c>
      <c r="L631" s="2">
        <f t="shared" si="3"/>
        <v>95.4</v>
      </c>
      <c r="M631" s="2">
        <f t="shared" si="4"/>
        <v>0.1997989285</v>
      </c>
    </row>
    <row r="632" ht="15.75" customHeight="1">
      <c r="A632" s="3">
        <v>45003.0</v>
      </c>
      <c r="B632" s="2" t="s">
        <v>33</v>
      </c>
      <c r="C632" s="2" t="s">
        <v>34</v>
      </c>
      <c r="D632" s="2" t="s">
        <v>30</v>
      </c>
      <c r="E632" s="2">
        <v>4697.0</v>
      </c>
      <c r="F632" s="2">
        <v>281.82</v>
      </c>
      <c r="G632" s="2">
        <v>0.0</v>
      </c>
      <c r="H632" s="2">
        <v>39.0</v>
      </c>
      <c r="I632" s="2">
        <v>413.0</v>
      </c>
      <c r="J632" s="2">
        <f t="shared" si="1"/>
        <v>0</v>
      </c>
      <c r="K632" s="2">
        <f t="shared" si="2"/>
        <v>0</v>
      </c>
      <c r="L632" s="2">
        <f t="shared" si="3"/>
        <v>0</v>
      </c>
      <c r="M632" s="2">
        <f t="shared" si="4"/>
        <v>0.138386204</v>
      </c>
    </row>
    <row r="633" ht="15.75" customHeight="1">
      <c r="A633" s="3">
        <v>45003.0</v>
      </c>
      <c r="B633" s="2" t="s">
        <v>33</v>
      </c>
      <c r="C633" s="2" t="s">
        <v>35</v>
      </c>
      <c r="D633" s="2" t="s">
        <v>28</v>
      </c>
      <c r="E633" s="2">
        <v>3083.0</v>
      </c>
      <c r="F633" s="2">
        <v>61.660000000000004</v>
      </c>
      <c r="G633" s="2">
        <v>0.0</v>
      </c>
      <c r="H633" s="2">
        <v>6.0</v>
      </c>
      <c r="I633" s="2">
        <v>4084.0</v>
      </c>
      <c r="J633" s="2">
        <f t="shared" si="1"/>
        <v>0</v>
      </c>
      <c r="K633" s="2">
        <f t="shared" si="2"/>
        <v>0</v>
      </c>
      <c r="L633" s="2">
        <f t="shared" si="3"/>
        <v>0</v>
      </c>
      <c r="M633" s="2">
        <f t="shared" si="4"/>
        <v>0.09730781706</v>
      </c>
    </row>
    <row r="634" ht="15.75" customHeight="1">
      <c r="A634" s="3">
        <v>45004.0</v>
      </c>
      <c r="B634" s="2" t="s">
        <v>14</v>
      </c>
      <c r="C634" s="2" t="s">
        <v>15</v>
      </c>
      <c r="D634" s="2" t="s">
        <v>30</v>
      </c>
      <c r="E634" s="2">
        <v>9408.0</v>
      </c>
      <c r="F634" s="2">
        <v>282.24</v>
      </c>
      <c r="G634" s="2">
        <v>420.5376</v>
      </c>
      <c r="H634" s="2">
        <v>45.0</v>
      </c>
      <c r="I634" s="2">
        <v>2887.0</v>
      </c>
      <c r="J634" s="2">
        <f t="shared" si="1"/>
        <v>1.49</v>
      </c>
      <c r="K634" s="2">
        <f t="shared" si="2"/>
        <v>1.49</v>
      </c>
      <c r="L634" s="2">
        <f t="shared" si="3"/>
        <v>44.7</v>
      </c>
      <c r="M634" s="2">
        <f t="shared" si="4"/>
        <v>0.1594387755</v>
      </c>
    </row>
    <row r="635" ht="15.75" customHeight="1">
      <c r="A635" s="3">
        <v>45004.0</v>
      </c>
      <c r="B635" s="2" t="s">
        <v>14</v>
      </c>
      <c r="C635" s="2" t="s">
        <v>17</v>
      </c>
      <c r="D635" s="2" t="s">
        <v>32</v>
      </c>
      <c r="E635" s="2">
        <v>10688.0</v>
      </c>
      <c r="F635" s="2">
        <v>213.76</v>
      </c>
      <c r="G635" s="2">
        <v>378.35519999999997</v>
      </c>
      <c r="H635" s="2">
        <v>28.0</v>
      </c>
      <c r="I635" s="2">
        <v>610.0</v>
      </c>
      <c r="J635" s="2">
        <f t="shared" si="1"/>
        <v>1.77</v>
      </c>
      <c r="K635" s="2">
        <f t="shared" si="2"/>
        <v>1.77</v>
      </c>
      <c r="L635" s="2">
        <f t="shared" si="3"/>
        <v>35.4</v>
      </c>
      <c r="M635" s="2">
        <f t="shared" si="4"/>
        <v>0.130988024</v>
      </c>
    </row>
    <row r="636" ht="15.75" customHeight="1">
      <c r="A636" s="3">
        <v>45004.0</v>
      </c>
      <c r="B636" s="2" t="s">
        <v>20</v>
      </c>
      <c r="C636" s="2" t="s">
        <v>21</v>
      </c>
      <c r="D636" s="2" t="s">
        <v>19</v>
      </c>
      <c r="E636" s="2">
        <v>4757.0</v>
      </c>
      <c r="F636" s="2">
        <v>332.99</v>
      </c>
      <c r="G636" s="2">
        <v>406.2478</v>
      </c>
      <c r="H636" s="2">
        <v>37.0</v>
      </c>
      <c r="I636" s="2">
        <v>1037.0</v>
      </c>
      <c r="J636" s="2">
        <f t="shared" si="1"/>
        <v>1.22</v>
      </c>
      <c r="K636" s="2">
        <f t="shared" si="2"/>
        <v>1.22</v>
      </c>
      <c r="L636" s="2">
        <f t="shared" si="3"/>
        <v>85.4</v>
      </c>
      <c r="M636" s="2">
        <f t="shared" si="4"/>
        <v>0.1111144479</v>
      </c>
    </row>
    <row r="637" ht="15.75" customHeight="1">
      <c r="A637" s="3">
        <v>45004.0</v>
      </c>
      <c r="B637" s="2" t="s">
        <v>20</v>
      </c>
      <c r="C637" s="2" t="s">
        <v>23</v>
      </c>
      <c r="D637" s="2" t="s">
        <v>16</v>
      </c>
      <c r="E637" s="2">
        <v>2665.0</v>
      </c>
      <c r="F637" s="2">
        <v>186.55</v>
      </c>
      <c r="G637" s="2">
        <v>263.0355</v>
      </c>
      <c r="H637" s="2">
        <v>28.0</v>
      </c>
      <c r="I637" s="2">
        <v>2115.0</v>
      </c>
      <c r="J637" s="2">
        <f t="shared" si="1"/>
        <v>1.41</v>
      </c>
      <c r="K637" s="2">
        <f t="shared" si="2"/>
        <v>1.41</v>
      </c>
      <c r="L637" s="2">
        <f t="shared" si="3"/>
        <v>98.7</v>
      </c>
      <c r="M637" s="2">
        <f t="shared" si="4"/>
        <v>0.1500938086</v>
      </c>
    </row>
    <row r="638" ht="15.75" customHeight="1">
      <c r="A638" s="3">
        <v>45004.0</v>
      </c>
      <c r="B638" s="2" t="s">
        <v>26</v>
      </c>
      <c r="C638" s="2" t="s">
        <v>27</v>
      </c>
      <c r="D638" s="2" t="s">
        <v>28</v>
      </c>
      <c r="E638" s="2">
        <v>14956.0</v>
      </c>
      <c r="F638" s="2">
        <v>747.8000000000001</v>
      </c>
      <c r="G638" s="2">
        <v>695.4540000000001</v>
      </c>
      <c r="H638" s="2">
        <v>52.0</v>
      </c>
      <c r="I638" s="2">
        <v>3323.0</v>
      </c>
      <c r="J638" s="2">
        <f t="shared" si="1"/>
        <v>0.93</v>
      </c>
      <c r="K638" s="2">
        <f t="shared" si="2"/>
        <v>0.93</v>
      </c>
      <c r="L638" s="2">
        <f t="shared" si="3"/>
        <v>46.5</v>
      </c>
      <c r="M638" s="2">
        <f t="shared" si="4"/>
        <v>0.06953730944</v>
      </c>
    </row>
    <row r="639" ht="15.75" customHeight="1">
      <c r="A639" s="3">
        <v>45004.0</v>
      </c>
      <c r="B639" s="2" t="s">
        <v>26</v>
      </c>
      <c r="C639" s="2" t="s">
        <v>31</v>
      </c>
      <c r="D639" s="2" t="s">
        <v>25</v>
      </c>
      <c r="E639" s="2">
        <v>14796.0</v>
      </c>
      <c r="F639" s="2">
        <v>591.84</v>
      </c>
      <c r="G639" s="2">
        <v>722.0448</v>
      </c>
      <c r="H639" s="2">
        <v>118.0</v>
      </c>
      <c r="I639" s="2">
        <v>3349.0</v>
      </c>
      <c r="J639" s="2">
        <f t="shared" si="1"/>
        <v>1.22</v>
      </c>
      <c r="K639" s="2">
        <f t="shared" si="2"/>
        <v>1.22</v>
      </c>
      <c r="L639" s="2">
        <f t="shared" si="3"/>
        <v>48.8</v>
      </c>
      <c r="M639" s="2">
        <f t="shared" si="4"/>
        <v>0.1993782103</v>
      </c>
    </row>
    <row r="640" ht="15.75" customHeight="1">
      <c r="A640" s="3">
        <v>45004.0</v>
      </c>
      <c r="B640" s="2" t="s">
        <v>33</v>
      </c>
      <c r="C640" s="2" t="s">
        <v>34</v>
      </c>
      <c r="D640" s="2" t="s">
        <v>16</v>
      </c>
      <c r="E640" s="2">
        <v>4297.0</v>
      </c>
      <c r="F640" s="2">
        <v>300.79</v>
      </c>
      <c r="G640" s="2">
        <v>0.0</v>
      </c>
      <c r="H640" s="2">
        <v>15.0</v>
      </c>
      <c r="I640" s="2">
        <v>594.0</v>
      </c>
      <c r="J640" s="2">
        <f t="shared" si="1"/>
        <v>0</v>
      </c>
      <c r="K640" s="2">
        <f t="shared" si="2"/>
        <v>0</v>
      </c>
      <c r="L640" s="2">
        <f t="shared" si="3"/>
        <v>0</v>
      </c>
      <c r="M640" s="2">
        <f t="shared" si="4"/>
        <v>0.04986867914</v>
      </c>
    </row>
    <row r="641" ht="15.75" customHeight="1">
      <c r="A641" s="3">
        <v>45004.0</v>
      </c>
      <c r="B641" s="2" t="s">
        <v>33</v>
      </c>
      <c r="C641" s="2" t="s">
        <v>35</v>
      </c>
      <c r="D641" s="2" t="s">
        <v>18</v>
      </c>
      <c r="E641" s="2">
        <v>5599.0</v>
      </c>
      <c r="F641" s="2">
        <v>559.9</v>
      </c>
      <c r="G641" s="2">
        <v>0.0</v>
      </c>
      <c r="H641" s="2">
        <v>84.0</v>
      </c>
      <c r="I641" s="2">
        <v>4924.0</v>
      </c>
      <c r="J641" s="2">
        <f t="shared" si="1"/>
        <v>0</v>
      </c>
      <c r="K641" s="2">
        <f t="shared" si="2"/>
        <v>0</v>
      </c>
      <c r="L641" s="2">
        <f t="shared" si="3"/>
        <v>0</v>
      </c>
      <c r="M641" s="2">
        <f t="shared" si="4"/>
        <v>0.1500267905</v>
      </c>
    </row>
    <row r="642" ht="15.75" customHeight="1">
      <c r="A642" s="3">
        <v>45005.0</v>
      </c>
      <c r="B642" s="2" t="s">
        <v>14</v>
      </c>
      <c r="C642" s="2" t="s">
        <v>15</v>
      </c>
      <c r="D642" s="2" t="s">
        <v>13</v>
      </c>
      <c r="E642" s="2">
        <v>5170.0</v>
      </c>
      <c r="F642" s="2">
        <v>413.6</v>
      </c>
      <c r="G642" s="2">
        <v>405.32800000000003</v>
      </c>
      <c r="H642" s="2">
        <v>29.0</v>
      </c>
      <c r="I642" s="2">
        <v>2704.0</v>
      </c>
      <c r="J642" s="2">
        <f t="shared" si="1"/>
        <v>0.98</v>
      </c>
      <c r="K642" s="2">
        <f t="shared" si="2"/>
        <v>0.98</v>
      </c>
      <c r="L642" s="2">
        <f t="shared" si="3"/>
        <v>78.4</v>
      </c>
      <c r="M642" s="2">
        <f t="shared" si="4"/>
        <v>0.07011605416</v>
      </c>
    </row>
    <row r="643" ht="15.75" customHeight="1">
      <c r="A643" s="3">
        <v>45005.0</v>
      </c>
      <c r="B643" s="2" t="s">
        <v>14</v>
      </c>
      <c r="C643" s="2" t="s">
        <v>17</v>
      </c>
      <c r="D643" s="2" t="s">
        <v>22</v>
      </c>
      <c r="E643" s="2">
        <v>7229.0</v>
      </c>
      <c r="F643" s="2">
        <v>216.87</v>
      </c>
      <c r="G643" s="2">
        <v>307.9554</v>
      </c>
      <c r="H643" s="2">
        <v>24.0</v>
      </c>
      <c r="I643" s="2">
        <v>2757.0</v>
      </c>
      <c r="J643" s="2">
        <f t="shared" si="1"/>
        <v>1.42</v>
      </c>
      <c r="K643" s="2">
        <f t="shared" si="2"/>
        <v>1.42</v>
      </c>
      <c r="L643" s="2">
        <f t="shared" si="3"/>
        <v>42.6</v>
      </c>
      <c r="M643" s="2">
        <f t="shared" si="4"/>
        <v>0.1106653756</v>
      </c>
    </row>
    <row r="644" ht="15.75" customHeight="1">
      <c r="A644" s="3">
        <v>45005.0</v>
      </c>
      <c r="B644" s="2" t="s">
        <v>20</v>
      </c>
      <c r="C644" s="2" t="s">
        <v>21</v>
      </c>
      <c r="D644" s="2" t="s">
        <v>28</v>
      </c>
      <c r="E644" s="2">
        <v>3279.0</v>
      </c>
      <c r="F644" s="2">
        <v>98.36999999999999</v>
      </c>
      <c r="G644" s="2">
        <v>162.31049999999996</v>
      </c>
      <c r="H644" s="2">
        <v>17.0</v>
      </c>
      <c r="I644" s="2">
        <v>1452.0</v>
      </c>
      <c r="J644" s="2">
        <f t="shared" si="1"/>
        <v>1.65</v>
      </c>
      <c r="K644" s="2">
        <f t="shared" si="2"/>
        <v>1.65</v>
      </c>
      <c r="L644" s="2">
        <f t="shared" si="3"/>
        <v>49.5</v>
      </c>
      <c r="M644" s="2">
        <f t="shared" si="4"/>
        <v>0.1728169157</v>
      </c>
    </row>
    <row r="645" ht="15.75" customHeight="1">
      <c r="A645" s="3">
        <v>45005.0</v>
      </c>
      <c r="B645" s="2" t="s">
        <v>20</v>
      </c>
      <c r="C645" s="2" t="s">
        <v>23</v>
      </c>
      <c r="D645" s="2" t="s">
        <v>28</v>
      </c>
      <c r="E645" s="2">
        <v>3321.0</v>
      </c>
      <c r="F645" s="2">
        <v>232.47000000000003</v>
      </c>
      <c r="G645" s="2">
        <v>434.7189000000001</v>
      </c>
      <c r="H645" s="2">
        <v>33.0</v>
      </c>
      <c r="I645" s="2">
        <v>4552.0</v>
      </c>
      <c r="J645" s="2">
        <f t="shared" si="1"/>
        <v>1.87</v>
      </c>
      <c r="K645" s="2">
        <f t="shared" si="2"/>
        <v>1.87</v>
      </c>
      <c r="L645" s="2">
        <f t="shared" si="3"/>
        <v>130.9</v>
      </c>
      <c r="M645" s="2">
        <f t="shared" si="4"/>
        <v>0.1419538005</v>
      </c>
    </row>
    <row r="646" ht="15.75" customHeight="1">
      <c r="A646" s="3">
        <v>45005.0</v>
      </c>
      <c r="B646" s="2" t="s">
        <v>26</v>
      </c>
      <c r="C646" s="2" t="s">
        <v>27</v>
      </c>
      <c r="D646" s="2" t="s">
        <v>32</v>
      </c>
      <c r="E646" s="2">
        <v>8679.0</v>
      </c>
      <c r="F646" s="2">
        <v>694.32</v>
      </c>
      <c r="G646" s="2">
        <v>1374.7536</v>
      </c>
      <c r="H646" s="2">
        <v>118.0</v>
      </c>
      <c r="I646" s="2">
        <v>3661.0</v>
      </c>
      <c r="J646" s="2">
        <f t="shared" si="1"/>
        <v>1.98</v>
      </c>
      <c r="K646" s="2">
        <f t="shared" si="2"/>
        <v>1.98</v>
      </c>
      <c r="L646" s="2">
        <f t="shared" si="3"/>
        <v>158.4</v>
      </c>
      <c r="M646" s="2">
        <f t="shared" si="4"/>
        <v>0.1699504551</v>
      </c>
    </row>
    <row r="647" ht="15.75" customHeight="1">
      <c r="A647" s="3">
        <v>45005.0</v>
      </c>
      <c r="B647" s="2" t="s">
        <v>26</v>
      </c>
      <c r="C647" s="2" t="s">
        <v>31</v>
      </c>
      <c r="D647" s="2" t="s">
        <v>28</v>
      </c>
      <c r="E647" s="2">
        <v>11886.0</v>
      </c>
      <c r="F647" s="2">
        <v>237.72</v>
      </c>
      <c r="G647" s="2">
        <v>366.0888</v>
      </c>
      <c r="H647" s="2">
        <v>14.0</v>
      </c>
      <c r="I647" s="2">
        <v>1238.0</v>
      </c>
      <c r="J647" s="2">
        <f t="shared" si="1"/>
        <v>1.54</v>
      </c>
      <c r="K647" s="2">
        <f t="shared" si="2"/>
        <v>1.54</v>
      </c>
      <c r="L647" s="2">
        <f t="shared" si="3"/>
        <v>30.8</v>
      </c>
      <c r="M647" s="2">
        <f t="shared" si="4"/>
        <v>0.05889281508</v>
      </c>
    </row>
    <row r="648" ht="15.75" customHeight="1">
      <c r="A648" s="3">
        <v>45005.0</v>
      </c>
      <c r="B648" s="2" t="s">
        <v>33</v>
      </c>
      <c r="C648" s="2" t="s">
        <v>34</v>
      </c>
      <c r="D648" s="2" t="s">
        <v>32</v>
      </c>
      <c r="E648" s="2">
        <v>2799.0</v>
      </c>
      <c r="F648" s="2">
        <v>83.97</v>
      </c>
      <c r="G648" s="2">
        <v>0.0</v>
      </c>
      <c r="H648" s="2">
        <v>17.0</v>
      </c>
      <c r="I648" s="2">
        <v>2129.0</v>
      </c>
      <c r="J648" s="2">
        <f t="shared" si="1"/>
        <v>0</v>
      </c>
      <c r="K648" s="2">
        <f t="shared" si="2"/>
        <v>0</v>
      </c>
      <c r="L648" s="2">
        <f t="shared" si="3"/>
        <v>0</v>
      </c>
      <c r="M648" s="2">
        <f t="shared" si="4"/>
        <v>0.2024532571</v>
      </c>
    </row>
    <row r="649" ht="15.75" customHeight="1">
      <c r="A649" s="3">
        <v>45005.0</v>
      </c>
      <c r="B649" s="2" t="s">
        <v>33</v>
      </c>
      <c r="C649" s="2" t="s">
        <v>35</v>
      </c>
      <c r="D649" s="2" t="s">
        <v>30</v>
      </c>
      <c r="E649" s="2">
        <v>3696.0</v>
      </c>
      <c r="F649" s="2">
        <v>110.88</v>
      </c>
      <c r="G649" s="2">
        <v>0.0</v>
      </c>
      <c r="H649" s="2">
        <v>12.0</v>
      </c>
      <c r="I649" s="2">
        <v>2157.0</v>
      </c>
      <c r="J649" s="2">
        <f t="shared" si="1"/>
        <v>0</v>
      </c>
      <c r="K649" s="2">
        <f t="shared" si="2"/>
        <v>0</v>
      </c>
      <c r="L649" s="2">
        <f t="shared" si="3"/>
        <v>0</v>
      </c>
      <c r="M649" s="2">
        <f t="shared" si="4"/>
        <v>0.1082251082</v>
      </c>
    </row>
    <row r="650" ht="15.75" customHeight="1">
      <c r="A650" s="3">
        <v>45006.0</v>
      </c>
      <c r="B650" s="2" t="s">
        <v>14</v>
      </c>
      <c r="C650" s="2" t="s">
        <v>15</v>
      </c>
      <c r="D650" s="2" t="s">
        <v>25</v>
      </c>
      <c r="E650" s="2">
        <v>7711.0</v>
      </c>
      <c r="F650" s="2">
        <v>539.7700000000001</v>
      </c>
      <c r="G650" s="2">
        <v>528.9746000000001</v>
      </c>
      <c r="H650" s="2">
        <v>65.0</v>
      </c>
      <c r="I650" s="2">
        <v>818.0</v>
      </c>
      <c r="J650" s="2">
        <f t="shared" si="1"/>
        <v>0.98</v>
      </c>
      <c r="K650" s="2">
        <f t="shared" si="2"/>
        <v>0.98</v>
      </c>
      <c r="L650" s="2">
        <f t="shared" si="3"/>
        <v>68.6</v>
      </c>
      <c r="M650" s="2">
        <f t="shared" si="4"/>
        <v>0.1204216611</v>
      </c>
    </row>
    <row r="651" ht="15.75" customHeight="1">
      <c r="A651" s="3">
        <v>45006.0</v>
      </c>
      <c r="B651" s="2" t="s">
        <v>14</v>
      </c>
      <c r="C651" s="2" t="s">
        <v>17</v>
      </c>
      <c r="D651" s="2" t="s">
        <v>22</v>
      </c>
      <c r="E651" s="2">
        <v>6548.0</v>
      </c>
      <c r="F651" s="2">
        <v>196.44</v>
      </c>
      <c r="G651" s="2">
        <v>306.4464</v>
      </c>
      <c r="H651" s="2">
        <v>26.0</v>
      </c>
      <c r="I651" s="2">
        <v>428.0</v>
      </c>
      <c r="J651" s="2">
        <f t="shared" si="1"/>
        <v>1.56</v>
      </c>
      <c r="K651" s="2">
        <f t="shared" si="2"/>
        <v>1.56</v>
      </c>
      <c r="L651" s="2">
        <f t="shared" si="3"/>
        <v>46.8</v>
      </c>
      <c r="M651" s="2">
        <f t="shared" si="4"/>
        <v>0.1323559357</v>
      </c>
    </row>
    <row r="652" ht="15.75" customHeight="1">
      <c r="A652" s="3">
        <v>45006.0</v>
      </c>
      <c r="B652" s="2" t="s">
        <v>20</v>
      </c>
      <c r="C652" s="2" t="s">
        <v>21</v>
      </c>
      <c r="D652" s="2" t="s">
        <v>24</v>
      </c>
      <c r="E652" s="2">
        <v>4055.0</v>
      </c>
      <c r="F652" s="2">
        <v>202.75</v>
      </c>
      <c r="G652" s="2">
        <v>164.22750000000002</v>
      </c>
      <c r="H652" s="2">
        <v>36.0</v>
      </c>
      <c r="I652" s="2">
        <v>1440.0</v>
      </c>
      <c r="J652" s="2">
        <f t="shared" si="1"/>
        <v>0.81</v>
      </c>
      <c r="K652" s="2">
        <f t="shared" si="2"/>
        <v>0.81</v>
      </c>
      <c r="L652" s="2">
        <f t="shared" si="3"/>
        <v>40.5</v>
      </c>
      <c r="M652" s="2">
        <f t="shared" si="4"/>
        <v>0.1775585697</v>
      </c>
    </row>
    <row r="653" ht="15.75" customHeight="1">
      <c r="A653" s="3">
        <v>45006.0</v>
      </c>
      <c r="B653" s="2" t="s">
        <v>20</v>
      </c>
      <c r="C653" s="2" t="s">
        <v>23</v>
      </c>
      <c r="D653" s="2" t="s">
        <v>18</v>
      </c>
      <c r="E653" s="2">
        <v>3425.0</v>
      </c>
      <c r="F653" s="2">
        <v>205.5</v>
      </c>
      <c r="G653" s="2">
        <v>328.8</v>
      </c>
      <c r="H653" s="2">
        <v>16.0</v>
      </c>
      <c r="I653" s="2">
        <v>2202.0</v>
      </c>
      <c r="J653" s="2">
        <f t="shared" si="1"/>
        <v>1.6</v>
      </c>
      <c r="K653" s="2">
        <f t="shared" si="2"/>
        <v>1.6</v>
      </c>
      <c r="L653" s="2">
        <f t="shared" si="3"/>
        <v>96</v>
      </c>
      <c r="M653" s="2">
        <f t="shared" si="4"/>
        <v>0.07785888078</v>
      </c>
    </row>
    <row r="654" ht="15.75" customHeight="1">
      <c r="A654" s="3">
        <v>45006.0</v>
      </c>
      <c r="B654" s="2" t="s">
        <v>26</v>
      </c>
      <c r="C654" s="2" t="s">
        <v>27</v>
      </c>
      <c r="D654" s="2" t="s">
        <v>13</v>
      </c>
      <c r="E654" s="2">
        <v>13103.0</v>
      </c>
      <c r="F654" s="2">
        <v>1179.27</v>
      </c>
      <c r="G654" s="2">
        <v>400.95180000000005</v>
      </c>
      <c r="H654" s="2">
        <v>177.0</v>
      </c>
      <c r="I654" s="2">
        <v>2606.0</v>
      </c>
      <c r="J654" s="2">
        <f t="shared" si="1"/>
        <v>0.34</v>
      </c>
      <c r="K654" s="2">
        <f t="shared" si="2"/>
        <v>0.34</v>
      </c>
      <c r="L654" s="2">
        <f t="shared" si="3"/>
        <v>30.6</v>
      </c>
      <c r="M654" s="2">
        <f t="shared" si="4"/>
        <v>0.1500928541</v>
      </c>
    </row>
    <row r="655" ht="15.75" customHeight="1">
      <c r="A655" s="3">
        <v>45006.0</v>
      </c>
      <c r="B655" s="2" t="s">
        <v>26</v>
      </c>
      <c r="C655" s="2" t="s">
        <v>31</v>
      </c>
      <c r="D655" s="2" t="s">
        <v>13</v>
      </c>
      <c r="E655" s="2">
        <v>14143.0</v>
      </c>
      <c r="F655" s="2">
        <v>848.5799999999999</v>
      </c>
      <c r="G655" s="2">
        <v>619.4634</v>
      </c>
      <c r="H655" s="2">
        <v>161.0</v>
      </c>
      <c r="I655" s="2">
        <v>3493.0</v>
      </c>
      <c r="J655" s="2">
        <f t="shared" si="1"/>
        <v>0.73</v>
      </c>
      <c r="K655" s="2">
        <f t="shared" si="2"/>
        <v>0.73</v>
      </c>
      <c r="L655" s="2">
        <f t="shared" si="3"/>
        <v>43.8</v>
      </c>
      <c r="M655" s="2">
        <f t="shared" si="4"/>
        <v>0.1897287233</v>
      </c>
    </row>
    <row r="656" ht="15.75" customHeight="1">
      <c r="A656" s="3">
        <v>45006.0</v>
      </c>
      <c r="B656" s="2" t="s">
        <v>33</v>
      </c>
      <c r="C656" s="2" t="s">
        <v>34</v>
      </c>
      <c r="D656" s="2" t="s">
        <v>22</v>
      </c>
      <c r="E656" s="2">
        <v>3090.0</v>
      </c>
      <c r="F656" s="2">
        <v>247.20000000000002</v>
      </c>
      <c r="G656" s="2">
        <v>0.0</v>
      </c>
      <c r="H656" s="2">
        <v>17.0</v>
      </c>
      <c r="I656" s="2">
        <v>3530.0</v>
      </c>
      <c r="J656" s="2">
        <f t="shared" si="1"/>
        <v>0</v>
      </c>
      <c r="K656" s="2">
        <f t="shared" si="2"/>
        <v>0</v>
      </c>
      <c r="L656" s="2">
        <f t="shared" si="3"/>
        <v>0</v>
      </c>
      <c r="M656" s="2">
        <f t="shared" si="4"/>
        <v>0.06877022654</v>
      </c>
    </row>
    <row r="657" ht="15.75" customHeight="1">
      <c r="A657" s="3">
        <v>45006.0</v>
      </c>
      <c r="B657" s="2" t="s">
        <v>33</v>
      </c>
      <c r="C657" s="2" t="s">
        <v>35</v>
      </c>
      <c r="D657" s="2" t="s">
        <v>22</v>
      </c>
      <c r="E657" s="2">
        <v>5126.0</v>
      </c>
      <c r="F657" s="2">
        <v>358.82000000000005</v>
      </c>
      <c r="G657" s="2">
        <v>0.0</v>
      </c>
      <c r="H657" s="2">
        <v>36.0</v>
      </c>
      <c r="I657" s="2">
        <v>3160.0</v>
      </c>
      <c r="J657" s="2">
        <f t="shared" si="1"/>
        <v>0</v>
      </c>
      <c r="K657" s="2">
        <f t="shared" si="2"/>
        <v>0</v>
      </c>
      <c r="L657" s="2">
        <f t="shared" si="3"/>
        <v>0</v>
      </c>
      <c r="M657" s="2">
        <f t="shared" si="4"/>
        <v>0.1003288557</v>
      </c>
    </row>
    <row r="658" ht="15.75" customHeight="1">
      <c r="A658" s="3">
        <v>45007.0</v>
      </c>
      <c r="B658" s="2" t="s">
        <v>14</v>
      </c>
      <c r="C658" s="2" t="s">
        <v>15</v>
      </c>
      <c r="D658" s="2" t="s">
        <v>30</v>
      </c>
      <c r="E658" s="2">
        <v>7835.0</v>
      </c>
      <c r="F658" s="2">
        <v>391.75</v>
      </c>
      <c r="G658" s="2">
        <v>454.42999999999995</v>
      </c>
      <c r="H658" s="2">
        <v>59.0</v>
      </c>
      <c r="I658" s="2">
        <v>1961.0</v>
      </c>
      <c r="J658" s="2">
        <f t="shared" si="1"/>
        <v>1.16</v>
      </c>
      <c r="K658" s="2">
        <f t="shared" si="2"/>
        <v>1.16</v>
      </c>
      <c r="L658" s="2">
        <f t="shared" si="3"/>
        <v>58</v>
      </c>
      <c r="M658" s="2">
        <f t="shared" si="4"/>
        <v>0.150606254</v>
      </c>
    </row>
    <row r="659" ht="15.75" customHeight="1">
      <c r="A659" s="3">
        <v>45007.0</v>
      </c>
      <c r="B659" s="2" t="s">
        <v>14</v>
      </c>
      <c r="C659" s="2" t="s">
        <v>17</v>
      </c>
      <c r="D659" s="2" t="s">
        <v>25</v>
      </c>
      <c r="E659" s="2">
        <v>8250.0</v>
      </c>
      <c r="F659" s="2">
        <v>330.0</v>
      </c>
      <c r="G659" s="2">
        <v>363.00000000000006</v>
      </c>
      <c r="H659" s="2">
        <v>36.0</v>
      </c>
      <c r="I659" s="2">
        <v>2102.0</v>
      </c>
      <c r="J659" s="2">
        <f t="shared" si="1"/>
        <v>1.1</v>
      </c>
      <c r="K659" s="2">
        <f t="shared" si="2"/>
        <v>1.1</v>
      </c>
      <c r="L659" s="2">
        <f t="shared" si="3"/>
        <v>44</v>
      </c>
      <c r="M659" s="2">
        <f t="shared" si="4"/>
        <v>0.1090909091</v>
      </c>
    </row>
    <row r="660" ht="15.75" customHeight="1">
      <c r="A660" s="3">
        <v>45007.0</v>
      </c>
      <c r="B660" s="2" t="s">
        <v>20</v>
      </c>
      <c r="C660" s="2" t="s">
        <v>21</v>
      </c>
      <c r="D660" s="2" t="s">
        <v>25</v>
      </c>
      <c r="E660" s="2">
        <v>4808.0</v>
      </c>
      <c r="F660" s="2">
        <v>240.4</v>
      </c>
      <c r="G660" s="2">
        <v>129.816</v>
      </c>
      <c r="H660" s="2">
        <v>12.0</v>
      </c>
      <c r="I660" s="2">
        <v>4901.0</v>
      </c>
      <c r="J660" s="2">
        <f t="shared" si="1"/>
        <v>0.54</v>
      </c>
      <c r="K660" s="2">
        <f t="shared" si="2"/>
        <v>0.54</v>
      </c>
      <c r="L660" s="2">
        <f t="shared" si="3"/>
        <v>27</v>
      </c>
      <c r="M660" s="2">
        <f t="shared" si="4"/>
        <v>0.04991680532</v>
      </c>
    </row>
    <row r="661" ht="15.75" customHeight="1">
      <c r="A661" s="3">
        <v>45007.0</v>
      </c>
      <c r="B661" s="2" t="s">
        <v>20</v>
      </c>
      <c r="C661" s="2" t="s">
        <v>23</v>
      </c>
      <c r="D661" s="2" t="s">
        <v>22</v>
      </c>
      <c r="E661" s="2">
        <v>4644.0</v>
      </c>
      <c r="F661" s="2">
        <v>325.08000000000004</v>
      </c>
      <c r="G661" s="2">
        <v>263.31480000000005</v>
      </c>
      <c r="H661" s="2">
        <v>26.0</v>
      </c>
      <c r="I661" s="2">
        <v>2607.0</v>
      </c>
      <c r="J661" s="2">
        <f t="shared" si="1"/>
        <v>0.81</v>
      </c>
      <c r="K661" s="2">
        <f t="shared" si="2"/>
        <v>0.81</v>
      </c>
      <c r="L661" s="2">
        <f t="shared" si="3"/>
        <v>56.7</v>
      </c>
      <c r="M661" s="2">
        <f t="shared" si="4"/>
        <v>0.07998031254</v>
      </c>
    </row>
    <row r="662" ht="15.75" customHeight="1">
      <c r="A662" s="3">
        <v>45007.0</v>
      </c>
      <c r="B662" s="2" t="s">
        <v>26</v>
      </c>
      <c r="C662" s="2" t="s">
        <v>27</v>
      </c>
      <c r="D662" s="2" t="s">
        <v>24</v>
      </c>
      <c r="E662" s="2">
        <v>11396.0</v>
      </c>
      <c r="F662" s="2">
        <v>797.72</v>
      </c>
      <c r="G662" s="2">
        <v>901.4236</v>
      </c>
      <c r="H662" s="2">
        <v>120.0</v>
      </c>
      <c r="I662" s="2">
        <v>3029.0</v>
      </c>
      <c r="J662" s="2">
        <f t="shared" si="1"/>
        <v>1.13</v>
      </c>
      <c r="K662" s="2">
        <f t="shared" si="2"/>
        <v>1.13</v>
      </c>
      <c r="L662" s="2">
        <f t="shared" si="3"/>
        <v>79.1</v>
      </c>
      <c r="M662" s="2">
        <f t="shared" si="4"/>
        <v>0.1504287219</v>
      </c>
    </row>
    <row r="663" ht="15.75" customHeight="1">
      <c r="A663" s="3">
        <v>45007.0</v>
      </c>
      <c r="B663" s="2" t="s">
        <v>26</v>
      </c>
      <c r="C663" s="2" t="s">
        <v>31</v>
      </c>
      <c r="D663" s="2" t="s">
        <v>19</v>
      </c>
      <c r="E663" s="2">
        <v>14095.0</v>
      </c>
      <c r="F663" s="2">
        <v>704.75</v>
      </c>
      <c r="G663" s="2">
        <v>514.4675</v>
      </c>
      <c r="H663" s="2">
        <v>70.0</v>
      </c>
      <c r="I663" s="2">
        <v>3600.0</v>
      </c>
      <c r="J663" s="2">
        <f t="shared" si="1"/>
        <v>0.73</v>
      </c>
      <c r="K663" s="2">
        <f t="shared" si="2"/>
        <v>0.73</v>
      </c>
      <c r="L663" s="2">
        <f t="shared" si="3"/>
        <v>36.5</v>
      </c>
      <c r="M663" s="2">
        <f t="shared" si="4"/>
        <v>0.09932600213</v>
      </c>
    </row>
    <row r="664" ht="15.75" customHeight="1">
      <c r="A664" s="3">
        <v>45007.0</v>
      </c>
      <c r="B664" s="2" t="s">
        <v>33</v>
      </c>
      <c r="C664" s="2" t="s">
        <v>34</v>
      </c>
      <c r="D664" s="2" t="s">
        <v>18</v>
      </c>
      <c r="E664" s="2">
        <v>4222.0</v>
      </c>
      <c r="F664" s="2">
        <v>379.97999999999996</v>
      </c>
      <c r="G664" s="2">
        <v>0.0</v>
      </c>
      <c r="H664" s="2">
        <v>27.0</v>
      </c>
      <c r="I664" s="2">
        <v>2558.0</v>
      </c>
      <c r="J664" s="2">
        <f t="shared" si="1"/>
        <v>0</v>
      </c>
      <c r="K664" s="2">
        <f t="shared" si="2"/>
        <v>0</v>
      </c>
      <c r="L664" s="2">
        <f t="shared" si="3"/>
        <v>0</v>
      </c>
      <c r="M664" s="2">
        <f t="shared" si="4"/>
        <v>0.07105637139</v>
      </c>
    </row>
    <row r="665" ht="15.75" customHeight="1">
      <c r="A665" s="3">
        <v>45007.0</v>
      </c>
      <c r="B665" s="2" t="s">
        <v>33</v>
      </c>
      <c r="C665" s="2" t="s">
        <v>35</v>
      </c>
      <c r="D665" s="2" t="s">
        <v>30</v>
      </c>
      <c r="E665" s="2">
        <v>2352.0</v>
      </c>
      <c r="F665" s="2">
        <v>235.20000000000002</v>
      </c>
      <c r="G665" s="2">
        <v>0.0</v>
      </c>
      <c r="H665" s="2">
        <v>28.0</v>
      </c>
      <c r="I665" s="2">
        <v>3953.0</v>
      </c>
      <c r="J665" s="2">
        <f t="shared" si="1"/>
        <v>0</v>
      </c>
      <c r="K665" s="2">
        <f t="shared" si="2"/>
        <v>0</v>
      </c>
      <c r="L665" s="2">
        <f t="shared" si="3"/>
        <v>0</v>
      </c>
      <c r="M665" s="2">
        <f t="shared" si="4"/>
        <v>0.119047619</v>
      </c>
    </row>
    <row r="666" ht="15.75" customHeight="1">
      <c r="A666" s="3">
        <v>45008.0</v>
      </c>
      <c r="B666" s="2" t="s">
        <v>14</v>
      </c>
      <c r="C666" s="2" t="s">
        <v>15</v>
      </c>
      <c r="D666" s="2" t="s">
        <v>24</v>
      </c>
      <c r="E666" s="2">
        <v>9826.0</v>
      </c>
      <c r="F666" s="2">
        <v>786.08</v>
      </c>
      <c r="G666" s="2">
        <v>1194.8416</v>
      </c>
      <c r="H666" s="2">
        <v>94.0</v>
      </c>
      <c r="I666" s="2">
        <v>3879.0</v>
      </c>
      <c r="J666" s="2">
        <f t="shared" si="1"/>
        <v>1.52</v>
      </c>
      <c r="K666" s="2">
        <f t="shared" si="2"/>
        <v>1.52</v>
      </c>
      <c r="L666" s="2">
        <f t="shared" si="3"/>
        <v>121.6</v>
      </c>
      <c r="M666" s="2">
        <f t="shared" si="4"/>
        <v>0.1195807043</v>
      </c>
    </row>
    <row r="667" ht="15.75" customHeight="1">
      <c r="A667" s="3">
        <v>45008.0</v>
      </c>
      <c r="B667" s="2" t="s">
        <v>14</v>
      </c>
      <c r="C667" s="2" t="s">
        <v>17</v>
      </c>
      <c r="D667" s="2" t="s">
        <v>13</v>
      </c>
      <c r="E667" s="2">
        <v>10441.0</v>
      </c>
      <c r="F667" s="2">
        <v>1044.1000000000001</v>
      </c>
      <c r="G667" s="2">
        <v>1649.6780000000003</v>
      </c>
      <c r="H667" s="2">
        <v>209.0</v>
      </c>
      <c r="I667" s="2">
        <v>2823.0</v>
      </c>
      <c r="J667" s="2">
        <f t="shared" si="1"/>
        <v>1.58</v>
      </c>
      <c r="K667" s="2">
        <f t="shared" si="2"/>
        <v>1.58</v>
      </c>
      <c r="L667" s="2">
        <f t="shared" si="3"/>
        <v>158</v>
      </c>
      <c r="M667" s="2">
        <f t="shared" si="4"/>
        <v>0.2001723973</v>
      </c>
    </row>
    <row r="668" ht="15.75" customHeight="1">
      <c r="A668" s="3">
        <v>45008.0</v>
      </c>
      <c r="B668" s="2" t="s">
        <v>20</v>
      </c>
      <c r="C668" s="2" t="s">
        <v>21</v>
      </c>
      <c r="D668" s="2" t="s">
        <v>19</v>
      </c>
      <c r="E668" s="2">
        <v>5526.0</v>
      </c>
      <c r="F668" s="2">
        <v>331.56</v>
      </c>
      <c r="G668" s="2">
        <v>560.3364</v>
      </c>
      <c r="H668" s="2">
        <v>43.0</v>
      </c>
      <c r="I668" s="2">
        <v>4179.0</v>
      </c>
      <c r="J668" s="2">
        <f t="shared" si="1"/>
        <v>1.69</v>
      </c>
      <c r="K668" s="2">
        <f t="shared" si="2"/>
        <v>1.69</v>
      </c>
      <c r="L668" s="2">
        <f t="shared" si="3"/>
        <v>101.4</v>
      </c>
      <c r="M668" s="2">
        <f t="shared" si="4"/>
        <v>0.1296899505</v>
      </c>
    </row>
    <row r="669" ht="15.75" customHeight="1">
      <c r="A669" s="3">
        <v>45008.0</v>
      </c>
      <c r="B669" s="2" t="s">
        <v>20</v>
      </c>
      <c r="C669" s="2" t="s">
        <v>23</v>
      </c>
      <c r="D669" s="2" t="s">
        <v>16</v>
      </c>
      <c r="E669" s="2">
        <v>2691.0</v>
      </c>
      <c r="F669" s="2">
        <v>161.46</v>
      </c>
      <c r="G669" s="2">
        <v>50.052600000000005</v>
      </c>
      <c r="H669" s="2">
        <v>23.0</v>
      </c>
      <c r="I669" s="2">
        <v>793.0</v>
      </c>
      <c r="J669" s="2">
        <f t="shared" si="1"/>
        <v>0.31</v>
      </c>
      <c r="K669" s="2">
        <f t="shared" si="2"/>
        <v>0.31</v>
      </c>
      <c r="L669" s="2">
        <f t="shared" si="3"/>
        <v>18.6</v>
      </c>
      <c r="M669" s="2">
        <f t="shared" si="4"/>
        <v>0.1424501425</v>
      </c>
    </row>
    <row r="670" ht="15.75" customHeight="1">
      <c r="A670" s="3">
        <v>45008.0</v>
      </c>
      <c r="B670" s="2" t="s">
        <v>26</v>
      </c>
      <c r="C670" s="2" t="s">
        <v>27</v>
      </c>
      <c r="D670" s="2" t="s">
        <v>13</v>
      </c>
      <c r="E670" s="2">
        <v>13842.0</v>
      </c>
      <c r="F670" s="2">
        <v>1107.3600000000001</v>
      </c>
      <c r="G670" s="2">
        <v>874.8144000000001</v>
      </c>
      <c r="H670" s="2">
        <v>210.0</v>
      </c>
      <c r="I670" s="2">
        <v>3325.0</v>
      </c>
      <c r="J670" s="2">
        <f t="shared" si="1"/>
        <v>0.79</v>
      </c>
      <c r="K670" s="2">
        <f t="shared" si="2"/>
        <v>0.79</v>
      </c>
      <c r="L670" s="2">
        <f t="shared" si="3"/>
        <v>63.2</v>
      </c>
      <c r="M670" s="2">
        <f t="shared" si="4"/>
        <v>0.1896402254</v>
      </c>
    </row>
    <row r="671" ht="15.75" customHeight="1">
      <c r="A671" s="3">
        <v>45008.0</v>
      </c>
      <c r="B671" s="2" t="s">
        <v>26</v>
      </c>
      <c r="C671" s="2" t="s">
        <v>31</v>
      </c>
      <c r="D671" s="2" t="s">
        <v>32</v>
      </c>
      <c r="E671" s="2">
        <v>12378.0</v>
      </c>
      <c r="F671" s="2">
        <v>866.46</v>
      </c>
      <c r="G671" s="2">
        <v>658.5096000000001</v>
      </c>
      <c r="H671" s="2">
        <v>78.0</v>
      </c>
      <c r="I671" s="2">
        <v>3255.0</v>
      </c>
      <c r="J671" s="2">
        <f t="shared" si="1"/>
        <v>0.76</v>
      </c>
      <c r="K671" s="2">
        <f t="shared" si="2"/>
        <v>0.76</v>
      </c>
      <c r="L671" s="2">
        <f t="shared" si="3"/>
        <v>53.2</v>
      </c>
      <c r="M671" s="2">
        <f t="shared" si="4"/>
        <v>0.09002146666</v>
      </c>
    </row>
    <row r="672" ht="15.75" customHeight="1">
      <c r="A672" s="3">
        <v>45008.0</v>
      </c>
      <c r="B672" s="2" t="s">
        <v>33</v>
      </c>
      <c r="C672" s="2" t="s">
        <v>34</v>
      </c>
      <c r="D672" s="2" t="s">
        <v>22</v>
      </c>
      <c r="E672" s="2">
        <v>3553.0</v>
      </c>
      <c r="F672" s="2">
        <v>355.3</v>
      </c>
      <c r="G672" s="2">
        <v>0.0</v>
      </c>
      <c r="H672" s="2">
        <v>43.0</v>
      </c>
      <c r="I672" s="2">
        <v>1132.0</v>
      </c>
      <c r="J672" s="2">
        <f t="shared" si="1"/>
        <v>0</v>
      </c>
      <c r="K672" s="2">
        <f t="shared" si="2"/>
        <v>0</v>
      </c>
      <c r="L672" s="2">
        <f t="shared" si="3"/>
        <v>0</v>
      </c>
      <c r="M672" s="2">
        <f t="shared" si="4"/>
        <v>0.1210244863</v>
      </c>
    </row>
    <row r="673" ht="15.75" customHeight="1">
      <c r="A673" s="3">
        <v>45008.0</v>
      </c>
      <c r="B673" s="2" t="s">
        <v>33</v>
      </c>
      <c r="C673" s="2" t="s">
        <v>35</v>
      </c>
      <c r="D673" s="2" t="s">
        <v>32</v>
      </c>
      <c r="E673" s="2">
        <v>5444.0</v>
      </c>
      <c r="F673" s="2">
        <v>489.96</v>
      </c>
      <c r="G673" s="2">
        <v>0.0</v>
      </c>
      <c r="H673" s="2">
        <v>34.0</v>
      </c>
      <c r="I673" s="2">
        <v>2503.0</v>
      </c>
      <c r="J673" s="2">
        <f t="shared" si="1"/>
        <v>0</v>
      </c>
      <c r="K673" s="2">
        <f t="shared" si="2"/>
        <v>0</v>
      </c>
      <c r="L673" s="2">
        <f t="shared" si="3"/>
        <v>0</v>
      </c>
      <c r="M673" s="2">
        <f t="shared" si="4"/>
        <v>0.06939341987</v>
      </c>
    </row>
    <row r="674" ht="15.75" customHeight="1">
      <c r="A674" s="3">
        <v>45009.0</v>
      </c>
      <c r="B674" s="2" t="s">
        <v>14</v>
      </c>
      <c r="C674" s="2" t="s">
        <v>15</v>
      </c>
      <c r="D674" s="2" t="s">
        <v>19</v>
      </c>
      <c r="E674" s="2">
        <v>8992.0</v>
      </c>
      <c r="F674" s="2">
        <v>449.6</v>
      </c>
      <c r="G674" s="2">
        <v>544.016</v>
      </c>
      <c r="H674" s="2">
        <v>45.0</v>
      </c>
      <c r="I674" s="2">
        <v>3712.0</v>
      </c>
      <c r="J674" s="2">
        <f t="shared" si="1"/>
        <v>1.21</v>
      </c>
      <c r="K674" s="2">
        <f t="shared" si="2"/>
        <v>1.21</v>
      </c>
      <c r="L674" s="2">
        <f t="shared" si="3"/>
        <v>60.5</v>
      </c>
      <c r="M674" s="2">
        <f t="shared" si="4"/>
        <v>0.100088968</v>
      </c>
    </row>
    <row r="675" ht="15.75" customHeight="1">
      <c r="A675" s="3">
        <v>45009.0</v>
      </c>
      <c r="B675" s="2" t="s">
        <v>14</v>
      </c>
      <c r="C675" s="2" t="s">
        <v>17</v>
      </c>
      <c r="D675" s="2" t="s">
        <v>30</v>
      </c>
      <c r="E675" s="2">
        <v>8843.0</v>
      </c>
      <c r="F675" s="2">
        <v>442.15000000000003</v>
      </c>
      <c r="G675" s="2">
        <v>862.1925</v>
      </c>
      <c r="H675" s="2">
        <v>62.0</v>
      </c>
      <c r="I675" s="2">
        <v>545.0</v>
      </c>
      <c r="J675" s="2">
        <f t="shared" si="1"/>
        <v>1.95</v>
      </c>
      <c r="K675" s="2">
        <f t="shared" si="2"/>
        <v>1.95</v>
      </c>
      <c r="L675" s="2">
        <f t="shared" si="3"/>
        <v>97.5</v>
      </c>
      <c r="M675" s="2">
        <f t="shared" si="4"/>
        <v>0.1402239059</v>
      </c>
    </row>
    <row r="676" ht="15.75" customHeight="1">
      <c r="A676" s="3">
        <v>45009.0</v>
      </c>
      <c r="B676" s="2" t="s">
        <v>20</v>
      </c>
      <c r="C676" s="2" t="s">
        <v>21</v>
      </c>
      <c r="D676" s="2" t="s">
        <v>19</v>
      </c>
      <c r="E676" s="2">
        <v>4887.0</v>
      </c>
      <c r="F676" s="2">
        <v>244.35000000000002</v>
      </c>
      <c r="G676" s="2">
        <v>283.446</v>
      </c>
      <c r="H676" s="2">
        <v>22.0</v>
      </c>
      <c r="I676" s="2">
        <v>801.0</v>
      </c>
      <c r="J676" s="2">
        <f t="shared" si="1"/>
        <v>1.16</v>
      </c>
      <c r="K676" s="2">
        <f t="shared" si="2"/>
        <v>1.16</v>
      </c>
      <c r="L676" s="2">
        <f t="shared" si="3"/>
        <v>58</v>
      </c>
      <c r="M676" s="2">
        <f t="shared" si="4"/>
        <v>0.09003478617</v>
      </c>
    </row>
    <row r="677" ht="15.75" customHeight="1">
      <c r="A677" s="3">
        <v>45009.0</v>
      </c>
      <c r="B677" s="2" t="s">
        <v>20</v>
      </c>
      <c r="C677" s="2" t="s">
        <v>23</v>
      </c>
      <c r="D677" s="2" t="s">
        <v>18</v>
      </c>
      <c r="E677" s="2">
        <v>2908.0</v>
      </c>
      <c r="F677" s="2">
        <v>87.24</v>
      </c>
      <c r="G677" s="2">
        <v>42.7476</v>
      </c>
      <c r="H677" s="2">
        <v>10.0</v>
      </c>
      <c r="I677" s="2">
        <v>2149.0</v>
      </c>
      <c r="J677" s="2">
        <f t="shared" si="1"/>
        <v>0.49</v>
      </c>
      <c r="K677" s="2">
        <f t="shared" si="2"/>
        <v>0.49</v>
      </c>
      <c r="L677" s="2">
        <f t="shared" si="3"/>
        <v>14.7</v>
      </c>
      <c r="M677" s="2">
        <f t="shared" si="4"/>
        <v>0.1146263182</v>
      </c>
    </row>
    <row r="678" ht="15.75" customHeight="1">
      <c r="A678" s="3">
        <v>45009.0</v>
      </c>
      <c r="B678" s="2" t="s">
        <v>26</v>
      </c>
      <c r="C678" s="2" t="s">
        <v>27</v>
      </c>
      <c r="D678" s="2" t="s">
        <v>30</v>
      </c>
      <c r="E678" s="2">
        <v>10392.0</v>
      </c>
      <c r="F678" s="2">
        <v>519.6</v>
      </c>
      <c r="G678" s="2">
        <v>249.40800000000002</v>
      </c>
      <c r="H678" s="2">
        <v>99.0</v>
      </c>
      <c r="I678" s="2">
        <v>4715.0</v>
      </c>
      <c r="J678" s="2">
        <f t="shared" si="1"/>
        <v>0.48</v>
      </c>
      <c r="K678" s="2">
        <f t="shared" si="2"/>
        <v>0.48</v>
      </c>
      <c r="L678" s="2">
        <f t="shared" si="3"/>
        <v>24</v>
      </c>
      <c r="M678" s="2">
        <f t="shared" si="4"/>
        <v>0.1905311778</v>
      </c>
    </row>
    <row r="679" ht="15.75" customHeight="1">
      <c r="A679" s="3">
        <v>45009.0</v>
      </c>
      <c r="B679" s="2" t="s">
        <v>26</v>
      </c>
      <c r="C679" s="2" t="s">
        <v>31</v>
      </c>
      <c r="D679" s="2" t="s">
        <v>18</v>
      </c>
      <c r="E679" s="2">
        <v>9616.0</v>
      </c>
      <c r="F679" s="2">
        <v>192.32</v>
      </c>
      <c r="G679" s="2">
        <v>361.56159999999994</v>
      </c>
      <c r="H679" s="2">
        <v>27.0</v>
      </c>
      <c r="I679" s="2">
        <v>1032.0</v>
      </c>
      <c r="J679" s="2">
        <f t="shared" si="1"/>
        <v>1.88</v>
      </c>
      <c r="K679" s="2">
        <f t="shared" si="2"/>
        <v>1.88</v>
      </c>
      <c r="L679" s="2">
        <f t="shared" si="3"/>
        <v>37.6</v>
      </c>
      <c r="M679" s="2">
        <f t="shared" si="4"/>
        <v>0.140391015</v>
      </c>
    </row>
    <row r="680" ht="15.75" customHeight="1">
      <c r="A680" s="3">
        <v>45009.0</v>
      </c>
      <c r="B680" s="2" t="s">
        <v>33</v>
      </c>
      <c r="C680" s="2" t="s">
        <v>34</v>
      </c>
      <c r="D680" s="2" t="s">
        <v>13</v>
      </c>
      <c r="E680" s="2">
        <v>3352.0</v>
      </c>
      <c r="F680" s="2">
        <v>100.56</v>
      </c>
      <c r="G680" s="2">
        <v>0.0</v>
      </c>
      <c r="H680" s="2">
        <v>14.0</v>
      </c>
      <c r="I680" s="2">
        <v>4014.0</v>
      </c>
      <c r="J680" s="2">
        <f t="shared" si="1"/>
        <v>0</v>
      </c>
      <c r="K680" s="2">
        <f t="shared" si="2"/>
        <v>0</v>
      </c>
      <c r="L680" s="2">
        <f t="shared" si="3"/>
        <v>0</v>
      </c>
      <c r="M680" s="2">
        <f t="shared" si="4"/>
        <v>0.139220366</v>
      </c>
    </row>
    <row r="681" ht="15.75" customHeight="1">
      <c r="A681" s="3">
        <v>45009.0</v>
      </c>
      <c r="B681" s="2" t="s">
        <v>33</v>
      </c>
      <c r="C681" s="2" t="s">
        <v>35</v>
      </c>
      <c r="D681" s="2" t="s">
        <v>16</v>
      </c>
      <c r="E681" s="2">
        <v>4481.0</v>
      </c>
      <c r="F681" s="2">
        <v>179.24</v>
      </c>
      <c r="G681" s="2">
        <v>0.0</v>
      </c>
      <c r="H681" s="2">
        <v>23.0</v>
      </c>
      <c r="I681" s="2">
        <v>4131.0</v>
      </c>
      <c r="J681" s="2">
        <f t="shared" si="1"/>
        <v>0</v>
      </c>
      <c r="K681" s="2">
        <f t="shared" si="2"/>
        <v>0</v>
      </c>
      <c r="L681" s="2">
        <f t="shared" si="3"/>
        <v>0</v>
      </c>
      <c r="M681" s="2">
        <f t="shared" si="4"/>
        <v>0.1283195715</v>
      </c>
    </row>
    <row r="682" ht="15.75" customHeight="1">
      <c r="A682" s="3">
        <v>45010.0</v>
      </c>
      <c r="B682" s="2" t="s">
        <v>14</v>
      </c>
      <c r="C682" s="2" t="s">
        <v>15</v>
      </c>
      <c r="D682" s="2" t="s">
        <v>30</v>
      </c>
      <c r="E682" s="2">
        <v>6415.0</v>
      </c>
      <c r="F682" s="2">
        <v>256.6</v>
      </c>
      <c r="G682" s="2">
        <v>492.672</v>
      </c>
      <c r="H682" s="2">
        <v>28.0</v>
      </c>
      <c r="I682" s="2">
        <v>4616.0</v>
      </c>
      <c r="J682" s="2">
        <f t="shared" si="1"/>
        <v>1.92</v>
      </c>
      <c r="K682" s="2">
        <f t="shared" si="2"/>
        <v>1.92</v>
      </c>
      <c r="L682" s="2">
        <f t="shared" si="3"/>
        <v>76.8</v>
      </c>
      <c r="M682" s="2">
        <f t="shared" si="4"/>
        <v>0.1091192518</v>
      </c>
    </row>
    <row r="683" ht="15.75" customHeight="1">
      <c r="A683" s="3">
        <v>45010.0</v>
      </c>
      <c r="B683" s="2" t="s">
        <v>14</v>
      </c>
      <c r="C683" s="2" t="s">
        <v>17</v>
      </c>
      <c r="D683" s="2" t="s">
        <v>32</v>
      </c>
      <c r="E683" s="2">
        <v>9389.0</v>
      </c>
      <c r="F683" s="2">
        <v>751.12</v>
      </c>
      <c r="G683" s="2">
        <v>1044.0567999999998</v>
      </c>
      <c r="H683" s="2">
        <v>90.0</v>
      </c>
      <c r="I683" s="2">
        <v>3197.0</v>
      </c>
      <c r="J683" s="2">
        <f t="shared" si="1"/>
        <v>1.39</v>
      </c>
      <c r="K683" s="2">
        <f t="shared" si="2"/>
        <v>1.39</v>
      </c>
      <c r="L683" s="2">
        <f t="shared" si="3"/>
        <v>111.2</v>
      </c>
      <c r="M683" s="2">
        <f t="shared" si="4"/>
        <v>0.1198210672</v>
      </c>
    </row>
    <row r="684" ht="15.75" customHeight="1">
      <c r="A684" s="3">
        <v>45010.0</v>
      </c>
      <c r="B684" s="2" t="s">
        <v>20</v>
      </c>
      <c r="C684" s="2" t="s">
        <v>21</v>
      </c>
      <c r="D684" s="2" t="s">
        <v>32</v>
      </c>
      <c r="E684" s="2">
        <v>2552.0</v>
      </c>
      <c r="F684" s="2">
        <v>229.67999999999998</v>
      </c>
      <c r="G684" s="2">
        <v>440.9855999999999</v>
      </c>
      <c r="H684" s="2">
        <v>16.0</v>
      </c>
      <c r="I684" s="2">
        <v>4649.0</v>
      </c>
      <c r="J684" s="2">
        <f t="shared" si="1"/>
        <v>1.92</v>
      </c>
      <c r="K684" s="2">
        <f t="shared" si="2"/>
        <v>1.92</v>
      </c>
      <c r="L684" s="2">
        <f t="shared" si="3"/>
        <v>172.8</v>
      </c>
      <c r="M684" s="2">
        <f t="shared" si="4"/>
        <v>0.06966213863</v>
      </c>
    </row>
    <row r="685" ht="15.75" customHeight="1">
      <c r="A685" s="3">
        <v>45010.0</v>
      </c>
      <c r="B685" s="2" t="s">
        <v>20</v>
      </c>
      <c r="C685" s="2" t="s">
        <v>23</v>
      </c>
      <c r="D685" s="2" t="s">
        <v>16</v>
      </c>
      <c r="E685" s="2">
        <v>3807.0</v>
      </c>
      <c r="F685" s="2">
        <v>152.28</v>
      </c>
      <c r="G685" s="2">
        <v>217.7604</v>
      </c>
      <c r="H685" s="2">
        <v>17.0</v>
      </c>
      <c r="I685" s="2">
        <v>3353.0</v>
      </c>
      <c r="J685" s="2">
        <f t="shared" si="1"/>
        <v>1.43</v>
      </c>
      <c r="K685" s="2">
        <f t="shared" si="2"/>
        <v>1.43</v>
      </c>
      <c r="L685" s="2">
        <f t="shared" si="3"/>
        <v>57.2</v>
      </c>
      <c r="M685" s="2">
        <f t="shared" si="4"/>
        <v>0.1116364592</v>
      </c>
    </row>
    <row r="686" ht="15.75" customHeight="1">
      <c r="A686" s="3">
        <v>45010.0</v>
      </c>
      <c r="B686" s="2" t="s">
        <v>26</v>
      </c>
      <c r="C686" s="2" t="s">
        <v>27</v>
      </c>
      <c r="D686" s="2" t="s">
        <v>22</v>
      </c>
      <c r="E686" s="2">
        <v>14582.0</v>
      </c>
      <c r="F686" s="2">
        <v>1166.56</v>
      </c>
      <c r="G686" s="2">
        <v>1516.528</v>
      </c>
      <c r="H686" s="2">
        <v>233.0</v>
      </c>
      <c r="I686" s="2">
        <v>3603.0</v>
      </c>
      <c r="J686" s="2">
        <f t="shared" si="1"/>
        <v>1.3</v>
      </c>
      <c r="K686" s="2">
        <f t="shared" si="2"/>
        <v>1.3</v>
      </c>
      <c r="L686" s="2">
        <f t="shared" si="3"/>
        <v>104</v>
      </c>
      <c r="M686" s="2">
        <f t="shared" si="4"/>
        <v>0.199732547</v>
      </c>
    </row>
    <row r="687" ht="15.75" customHeight="1">
      <c r="A687" s="3">
        <v>45010.0</v>
      </c>
      <c r="B687" s="2" t="s">
        <v>26</v>
      </c>
      <c r="C687" s="2" t="s">
        <v>31</v>
      </c>
      <c r="D687" s="2" t="s">
        <v>22</v>
      </c>
      <c r="E687" s="2">
        <v>8479.0</v>
      </c>
      <c r="F687" s="2">
        <v>593.5300000000001</v>
      </c>
      <c r="G687" s="2">
        <v>872.4891000000001</v>
      </c>
      <c r="H687" s="2">
        <v>36.0</v>
      </c>
      <c r="I687" s="2">
        <v>3018.0</v>
      </c>
      <c r="J687" s="2">
        <f t="shared" si="1"/>
        <v>1.47</v>
      </c>
      <c r="K687" s="2">
        <f t="shared" si="2"/>
        <v>1.47</v>
      </c>
      <c r="L687" s="2">
        <f t="shared" si="3"/>
        <v>102.9</v>
      </c>
      <c r="M687" s="2">
        <f t="shared" si="4"/>
        <v>0.06065405287</v>
      </c>
    </row>
    <row r="688" ht="15.75" customHeight="1">
      <c r="A688" s="3">
        <v>45010.0</v>
      </c>
      <c r="B688" s="2" t="s">
        <v>33</v>
      </c>
      <c r="C688" s="2" t="s">
        <v>34</v>
      </c>
      <c r="D688" s="2" t="s">
        <v>16</v>
      </c>
      <c r="E688" s="2">
        <v>5543.0</v>
      </c>
      <c r="F688" s="2">
        <v>166.29</v>
      </c>
      <c r="G688" s="2">
        <v>0.0</v>
      </c>
      <c r="H688" s="2">
        <v>27.0</v>
      </c>
      <c r="I688" s="2">
        <v>487.0</v>
      </c>
      <c r="J688" s="2">
        <f t="shared" si="1"/>
        <v>0</v>
      </c>
      <c r="K688" s="2">
        <f t="shared" si="2"/>
        <v>0</v>
      </c>
      <c r="L688" s="2">
        <f t="shared" si="3"/>
        <v>0</v>
      </c>
      <c r="M688" s="2">
        <f t="shared" si="4"/>
        <v>0.1623669493</v>
      </c>
    </row>
    <row r="689" ht="15.75" customHeight="1">
      <c r="A689" s="3">
        <v>45010.0</v>
      </c>
      <c r="B689" s="2" t="s">
        <v>33</v>
      </c>
      <c r="C689" s="2" t="s">
        <v>35</v>
      </c>
      <c r="D689" s="2" t="s">
        <v>25</v>
      </c>
      <c r="E689" s="2">
        <v>2341.0</v>
      </c>
      <c r="F689" s="2">
        <v>234.10000000000002</v>
      </c>
      <c r="G689" s="2">
        <v>0.0</v>
      </c>
      <c r="H689" s="2">
        <v>16.0</v>
      </c>
      <c r="I689" s="2">
        <v>3701.0</v>
      </c>
      <c r="J689" s="2">
        <f t="shared" si="1"/>
        <v>0</v>
      </c>
      <c r="K689" s="2">
        <f t="shared" si="2"/>
        <v>0</v>
      </c>
      <c r="L689" s="2">
        <f t="shared" si="3"/>
        <v>0</v>
      </c>
      <c r="M689" s="2">
        <f t="shared" si="4"/>
        <v>0.06834686032</v>
      </c>
    </row>
    <row r="690" ht="15.75" customHeight="1">
      <c r="A690" s="3">
        <v>45011.0</v>
      </c>
      <c r="B690" s="2" t="s">
        <v>14</v>
      </c>
      <c r="C690" s="2" t="s">
        <v>15</v>
      </c>
      <c r="D690" s="2" t="s">
        <v>24</v>
      </c>
      <c r="E690" s="2">
        <v>6575.0</v>
      </c>
      <c r="F690" s="2">
        <v>460.25000000000006</v>
      </c>
      <c r="G690" s="2">
        <v>211.71500000000003</v>
      </c>
      <c r="H690" s="2">
        <v>32.0</v>
      </c>
      <c r="I690" s="2">
        <v>4069.0</v>
      </c>
      <c r="J690" s="2">
        <f t="shared" si="1"/>
        <v>0.46</v>
      </c>
      <c r="K690" s="2">
        <f t="shared" si="2"/>
        <v>0.46</v>
      </c>
      <c r="L690" s="2">
        <f t="shared" si="3"/>
        <v>32.2</v>
      </c>
      <c r="M690" s="2">
        <f t="shared" si="4"/>
        <v>0.06952743074</v>
      </c>
    </row>
    <row r="691" ht="15.75" customHeight="1">
      <c r="A691" s="3">
        <v>45011.0</v>
      </c>
      <c r="B691" s="2" t="s">
        <v>14</v>
      </c>
      <c r="C691" s="2" t="s">
        <v>17</v>
      </c>
      <c r="D691" s="2" t="s">
        <v>30</v>
      </c>
      <c r="E691" s="2">
        <v>5667.0</v>
      </c>
      <c r="F691" s="2">
        <v>170.01</v>
      </c>
      <c r="G691" s="2">
        <v>236.31389999999996</v>
      </c>
      <c r="H691" s="2">
        <v>17.0</v>
      </c>
      <c r="I691" s="2">
        <v>2794.0</v>
      </c>
      <c r="J691" s="2">
        <f t="shared" si="1"/>
        <v>1.39</v>
      </c>
      <c r="K691" s="2">
        <f t="shared" si="2"/>
        <v>1.39</v>
      </c>
      <c r="L691" s="2">
        <f t="shared" si="3"/>
        <v>41.7</v>
      </c>
      <c r="M691" s="2">
        <f t="shared" si="4"/>
        <v>0.09999411799</v>
      </c>
    </row>
    <row r="692" ht="15.75" customHeight="1">
      <c r="A692" s="3">
        <v>45011.0</v>
      </c>
      <c r="B692" s="2" t="s">
        <v>20</v>
      </c>
      <c r="C692" s="2" t="s">
        <v>21</v>
      </c>
      <c r="D692" s="2" t="s">
        <v>22</v>
      </c>
      <c r="E692" s="2">
        <v>3373.0</v>
      </c>
      <c r="F692" s="2">
        <v>236.11</v>
      </c>
      <c r="G692" s="2">
        <v>403.7481</v>
      </c>
      <c r="H692" s="2">
        <v>45.0</v>
      </c>
      <c r="I692" s="2">
        <v>3380.0</v>
      </c>
      <c r="J692" s="2">
        <f t="shared" si="1"/>
        <v>1.71</v>
      </c>
      <c r="K692" s="2">
        <f t="shared" si="2"/>
        <v>1.71</v>
      </c>
      <c r="L692" s="2">
        <f t="shared" si="3"/>
        <v>119.7</v>
      </c>
      <c r="M692" s="2">
        <f t="shared" si="4"/>
        <v>0.1905891322</v>
      </c>
    </row>
    <row r="693" ht="15.75" customHeight="1">
      <c r="A693" s="3">
        <v>45011.0</v>
      </c>
      <c r="B693" s="2" t="s">
        <v>20</v>
      </c>
      <c r="C693" s="2" t="s">
        <v>23</v>
      </c>
      <c r="D693" s="2" t="s">
        <v>28</v>
      </c>
      <c r="E693" s="2">
        <v>2905.0</v>
      </c>
      <c r="F693" s="2">
        <v>58.1</v>
      </c>
      <c r="G693" s="2">
        <v>28.469</v>
      </c>
      <c r="H693" s="2">
        <v>6.0</v>
      </c>
      <c r="I693" s="2">
        <v>4516.0</v>
      </c>
      <c r="J693" s="2">
        <f t="shared" si="1"/>
        <v>0.49</v>
      </c>
      <c r="K693" s="2">
        <f t="shared" si="2"/>
        <v>0.49</v>
      </c>
      <c r="L693" s="2">
        <f t="shared" si="3"/>
        <v>9.8</v>
      </c>
      <c r="M693" s="2">
        <f t="shared" si="4"/>
        <v>0.1032702238</v>
      </c>
    </row>
    <row r="694" ht="15.75" customHeight="1">
      <c r="A694" s="3">
        <v>45011.0</v>
      </c>
      <c r="B694" s="2" t="s">
        <v>26</v>
      </c>
      <c r="C694" s="2" t="s">
        <v>27</v>
      </c>
      <c r="D694" s="2" t="s">
        <v>25</v>
      </c>
      <c r="E694" s="2">
        <v>12640.0</v>
      </c>
      <c r="F694" s="2">
        <v>1137.6</v>
      </c>
      <c r="G694" s="2">
        <v>1695.024</v>
      </c>
      <c r="H694" s="2">
        <v>228.0</v>
      </c>
      <c r="I694" s="2">
        <v>202.0</v>
      </c>
      <c r="J694" s="2">
        <f t="shared" si="1"/>
        <v>1.49</v>
      </c>
      <c r="K694" s="2">
        <f t="shared" si="2"/>
        <v>1.49</v>
      </c>
      <c r="L694" s="2">
        <f t="shared" si="3"/>
        <v>134.1</v>
      </c>
      <c r="M694" s="2">
        <f t="shared" si="4"/>
        <v>0.2004219409</v>
      </c>
    </row>
    <row r="695" ht="15.75" customHeight="1">
      <c r="A695" s="3">
        <v>45011.0</v>
      </c>
      <c r="B695" s="2" t="s">
        <v>26</v>
      </c>
      <c r="C695" s="2" t="s">
        <v>31</v>
      </c>
      <c r="D695" s="2" t="s">
        <v>28</v>
      </c>
      <c r="E695" s="2">
        <v>8545.0</v>
      </c>
      <c r="F695" s="2">
        <v>854.5</v>
      </c>
      <c r="G695" s="2">
        <v>1512.465</v>
      </c>
      <c r="H695" s="2">
        <v>68.0</v>
      </c>
      <c r="I695" s="2">
        <v>2445.0</v>
      </c>
      <c r="J695" s="2">
        <f t="shared" si="1"/>
        <v>1.77</v>
      </c>
      <c r="K695" s="2">
        <f t="shared" si="2"/>
        <v>1.77</v>
      </c>
      <c r="L695" s="2">
        <f t="shared" si="3"/>
        <v>177</v>
      </c>
      <c r="M695" s="2">
        <f t="shared" si="4"/>
        <v>0.07957870099</v>
      </c>
    </row>
    <row r="696" ht="15.75" customHeight="1">
      <c r="A696" s="3">
        <v>45011.0</v>
      </c>
      <c r="B696" s="2" t="s">
        <v>33</v>
      </c>
      <c r="C696" s="2" t="s">
        <v>34</v>
      </c>
      <c r="D696" s="2" t="s">
        <v>24</v>
      </c>
      <c r="E696" s="2">
        <v>5708.0</v>
      </c>
      <c r="F696" s="2">
        <v>228.32</v>
      </c>
      <c r="G696" s="2">
        <v>0.0</v>
      </c>
      <c r="H696" s="2">
        <v>46.0</v>
      </c>
      <c r="I696" s="2">
        <v>4277.0</v>
      </c>
      <c r="J696" s="2">
        <f t="shared" si="1"/>
        <v>0</v>
      </c>
      <c r="K696" s="2">
        <f t="shared" si="2"/>
        <v>0</v>
      </c>
      <c r="L696" s="2">
        <f t="shared" si="3"/>
        <v>0</v>
      </c>
      <c r="M696" s="2">
        <f t="shared" si="4"/>
        <v>0.2014716188</v>
      </c>
    </row>
    <row r="697" ht="15.75" customHeight="1">
      <c r="A697" s="3">
        <v>45011.0</v>
      </c>
      <c r="B697" s="2" t="s">
        <v>33</v>
      </c>
      <c r="C697" s="2" t="s">
        <v>35</v>
      </c>
      <c r="D697" s="2" t="s">
        <v>22</v>
      </c>
      <c r="E697" s="2">
        <v>2351.0</v>
      </c>
      <c r="F697" s="2">
        <v>164.57000000000002</v>
      </c>
      <c r="G697" s="2">
        <v>0.0</v>
      </c>
      <c r="H697" s="2">
        <v>18.0</v>
      </c>
      <c r="I697" s="2">
        <v>4682.0</v>
      </c>
      <c r="J697" s="2">
        <f t="shared" si="1"/>
        <v>0</v>
      </c>
      <c r="K697" s="2">
        <f t="shared" si="2"/>
        <v>0</v>
      </c>
      <c r="L697" s="2">
        <f t="shared" si="3"/>
        <v>0</v>
      </c>
      <c r="M697" s="2">
        <f t="shared" si="4"/>
        <v>0.1093759494</v>
      </c>
    </row>
    <row r="698" ht="15.75" customHeight="1">
      <c r="A698" s="3">
        <v>45012.0</v>
      </c>
      <c r="B698" s="2" t="s">
        <v>14</v>
      </c>
      <c r="C698" s="2" t="s">
        <v>15</v>
      </c>
      <c r="D698" s="2" t="s">
        <v>25</v>
      </c>
      <c r="E698" s="2">
        <v>9374.0</v>
      </c>
      <c r="F698" s="2">
        <v>374.96</v>
      </c>
      <c r="G698" s="2">
        <v>614.9344</v>
      </c>
      <c r="H698" s="2">
        <v>75.0</v>
      </c>
      <c r="I698" s="2">
        <v>2585.0</v>
      </c>
      <c r="J698" s="2">
        <f t="shared" si="1"/>
        <v>1.64</v>
      </c>
      <c r="K698" s="2">
        <f t="shared" si="2"/>
        <v>1.64</v>
      </c>
      <c r="L698" s="2">
        <f t="shared" si="3"/>
        <v>65.6</v>
      </c>
      <c r="M698" s="2">
        <f t="shared" si="4"/>
        <v>0.2000213356</v>
      </c>
    </row>
    <row r="699" ht="15.75" customHeight="1">
      <c r="A699" s="3">
        <v>45012.0</v>
      </c>
      <c r="B699" s="2" t="s">
        <v>14</v>
      </c>
      <c r="C699" s="2" t="s">
        <v>17</v>
      </c>
      <c r="D699" s="2" t="s">
        <v>16</v>
      </c>
      <c r="E699" s="2">
        <v>5953.0</v>
      </c>
      <c r="F699" s="2">
        <v>119.06</v>
      </c>
      <c r="G699" s="2">
        <v>135.7284</v>
      </c>
      <c r="H699" s="2">
        <v>11.0</v>
      </c>
      <c r="I699" s="2">
        <v>1150.0</v>
      </c>
      <c r="J699" s="2">
        <f t="shared" si="1"/>
        <v>1.14</v>
      </c>
      <c r="K699" s="2">
        <f t="shared" si="2"/>
        <v>1.14</v>
      </c>
      <c r="L699" s="2">
        <f t="shared" si="3"/>
        <v>22.8</v>
      </c>
      <c r="M699" s="2">
        <f t="shared" si="4"/>
        <v>0.0923903914</v>
      </c>
    </row>
    <row r="700" ht="15.75" customHeight="1">
      <c r="A700" s="3">
        <v>45012.0</v>
      </c>
      <c r="B700" s="2" t="s">
        <v>20</v>
      </c>
      <c r="C700" s="2" t="s">
        <v>21</v>
      </c>
      <c r="D700" s="2" t="s">
        <v>18</v>
      </c>
      <c r="E700" s="2">
        <v>2441.0</v>
      </c>
      <c r="F700" s="2">
        <v>122.05000000000001</v>
      </c>
      <c r="G700" s="2">
        <v>133.0345</v>
      </c>
      <c r="H700" s="2">
        <v>16.0</v>
      </c>
      <c r="I700" s="2">
        <v>4428.0</v>
      </c>
      <c r="J700" s="2">
        <f t="shared" si="1"/>
        <v>1.09</v>
      </c>
      <c r="K700" s="2">
        <f t="shared" si="2"/>
        <v>1.09</v>
      </c>
      <c r="L700" s="2">
        <f t="shared" si="3"/>
        <v>54.5</v>
      </c>
      <c r="M700" s="2">
        <f t="shared" si="4"/>
        <v>0.131093814</v>
      </c>
    </row>
    <row r="701" ht="15.75" customHeight="1">
      <c r="A701" s="3">
        <v>45012.0</v>
      </c>
      <c r="B701" s="2" t="s">
        <v>20</v>
      </c>
      <c r="C701" s="2" t="s">
        <v>23</v>
      </c>
      <c r="D701" s="2" t="s">
        <v>22</v>
      </c>
      <c r="E701" s="2">
        <v>2595.0</v>
      </c>
      <c r="F701" s="2">
        <v>233.54999999999998</v>
      </c>
      <c r="G701" s="2">
        <v>151.8075</v>
      </c>
      <c r="H701" s="2">
        <v>33.0</v>
      </c>
      <c r="I701" s="2">
        <v>862.0</v>
      </c>
      <c r="J701" s="2">
        <f t="shared" si="1"/>
        <v>0.65</v>
      </c>
      <c r="K701" s="2">
        <f t="shared" si="2"/>
        <v>0.65</v>
      </c>
      <c r="L701" s="2">
        <f t="shared" si="3"/>
        <v>58.5</v>
      </c>
      <c r="M701" s="2">
        <f t="shared" si="4"/>
        <v>0.1412973667</v>
      </c>
    </row>
    <row r="702" ht="15.75" customHeight="1">
      <c r="A702" s="3">
        <v>45012.0</v>
      </c>
      <c r="B702" s="2" t="s">
        <v>26</v>
      </c>
      <c r="C702" s="2" t="s">
        <v>27</v>
      </c>
      <c r="D702" s="2" t="s">
        <v>13</v>
      </c>
      <c r="E702" s="2">
        <v>13011.0</v>
      </c>
      <c r="F702" s="2">
        <v>1170.99</v>
      </c>
      <c r="G702" s="2">
        <v>632.3346</v>
      </c>
      <c r="H702" s="2">
        <v>152.0</v>
      </c>
      <c r="I702" s="2">
        <v>4199.0</v>
      </c>
      <c r="J702" s="2">
        <f t="shared" si="1"/>
        <v>0.54</v>
      </c>
      <c r="K702" s="2">
        <f t="shared" si="2"/>
        <v>0.54</v>
      </c>
      <c r="L702" s="2">
        <f t="shared" si="3"/>
        <v>48.6</v>
      </c>
      <c r="M702" s="2">
        <f t="shared" si="4"/>
        <v>0.1298046952</v>
      </c>
    </row>
    <row r="703" ht="15.75" customHeight="1">
      <c r="A703" s="3">
        <v>45012.0</v>
      </c>
      <c r="B703" s="2" t="s">
        <v>26</v>
      </c>
      <c r="C703" s="2" t="s">
        <v>31</v>
      </c>
      <c r="D703" s="2" t="s">
        <v>32</v>
      </c>
      <c r="E703" s="2">
        <v>10183.0</v>
      </c>
      <c r="F703" s="2">
        <v>305.49</v>
      </c>
      <c r="G703" s="2">
        <v>537.6624</v>
      </c>
      <c r="H703" s="2">
        <v>37.0</v>
      </c>
      <c r="I703" s="2">
        <v>3597.0</v>
      </c>
      <c r="J703" s="2">
        <f t="shared" si="1"/>
        <v>1.76</v>
      </c>
      <c r="K703" s="2">
        <f t="shared" si="2"/>
        <v>1.76</v>
      </c>
      <c r="L703" s="2">
        <f t="shared" si="3"/>
        <v>52.8</v>
      </c>
      <c r="M703" s="2">
        <f t="shared" si="4"/>
        <v>0.1211168942</v>
      </c>
    </row>
    <row r="704" ht="15.75" customHeight="1">
      <c r="A704" s="3">
        <v>45012.0</v>
      </c>
      <c r="B704" s="2" t="s">
        <v>33</v>
      </c>
      <c r="C704" s="2" t="s">
        <v>34</v>
      </c>
      <c r="D704" s="2" t="s">
        <v>24</v>
      </c>
      <c r="E704" s="2">
        <v>2337.0</v>
      </c>
      <c r="F704" s="2">
        <v>140.22</v>
      </c>
      <c r="G704" s="2">
        <v>0.0</v>
      </c>
      <c r="H704" s="2">
        <v>10.0</v>
      </c>
      <c r="I704" s="2">
        <v>3006.0</v>
      </c>
      <c r="J704" s="2">
        <f t="shared" si="1"/>
        <v>0</v>
      </c>
      <c r="K704" s="2">
        <f t="shared" si="2"/>
        <v>0</v>
      </c>
      <c r="L704" s="2">
        <f t="shared" si="3"/>
        <v>0</v>
      </c>
      <c r="M704" s="2">
        <f t="shared" si="4"/>
        <v>0.07131650264</v>
      </c>
    </row>
    <row r="705" ht="15.75" customHeight="1">
      <c r="A705" s="3">
        <v>45012.0</v>
      </c>
      <c r="B705" s="2" t="s">
        <v>33</v>
      </c>
      <c r="C705" s="2" t="s">
        <v>35</v>
      </c>
      <c r="D705" s="2" t="s">
        <v>13</v>
      </c>
      <c r="E705" s="2">
        <v>5370.0</v>
      </c>
      <c r="F705" s="2">
        <v>268.5</v>
      </c>
      <c r="G705" s="2">
        <v>0.0</v>
      </c>
      <c r="H705" s="2">
        <v>13.0</v>
      </c>
      <c r="I705" s="2">
        <v>116.0</v>
      </c>
      <c r="J705" s="2">
        <f t="shared" si="1"/>
        <v>0</v>
      </c>
      <c r="K705" s="2">
        <f t="shared" si="2"/>
        <v>0</v>
      </c>
      <c r="L705" s="2">
        <f t="shared" si="3"/>
        <v>0</v>
      </c>
      <c r="M705" s="2">
        <f t="shared" si="4"/>
        <v>0.04841713222</v>
      </c>
    </row>
    <row r="706" ht="15.75" customHeight="1">
      <c r="A706" s="3">
        <v>45013.0</v>
      </c>
      <c r="B706" s="2" t="s">
        <v>14</v>
      </c>
      <c r="C706" s="2" t="s">
        <v>15</v>
      </c>
      <c r="D706" s="2" t="s">
        <v>24</v>
      </c>
      <c r="E706" s="2">
        <v>10106.0</v>
      </c>
      <c r="F706" s="2">
        <v>505.3</v>
      </c>
      <c r="G706" s="2">
        <v>439.611</v>
      </c>
      <c r="H706" s="2">
        <v>30.0</v>
      </c>
      <c r="I706" s="2">
        <v>3365.0</v>
      </c>
      <c r="J706" s="2">
        <f t="shared" si="1"/>
        <v>0.87</v>
      </c>
      <c r="K706" s="2">
        <f t="shared" si="2"/>
        <v>0.87</v>
      </c>
      <c r="L706" s="2">
        <f t="shared" si="3"/>
        <v>43.5</v>
      </c>
      <c r="M706" s="2">
        <f t="shared" si="4"/>
        <v>0.05937067089</v>
      </c>
    </row>
    <row r="707" ht="15.75" customHeight="1">
      <c r="A707" s="3">
        <v>45013.0</v>
      </c>
      <c r="B707" s="2" t="s">
        <v>14</v>
      </c>
      <c r="C707" s="2" t="s">
        <v>17</v>
      </c>
      <c r="D707" s="2" t="s">
        <v>25</v>
      </c>
      <c r="E707" s="2">
        <v>9126.0</v>
      </c>
      <c r="F707" s="2">
        <v>638.82</v>
      </c>
      <c r="G707" s="2">
        <v>1060.4412</v>
      </c>
      <c r="H707" s="2">
        <v>70.0</v>
      </c>
      <c r="I707" s="2">
        <v>1967.0</v>
      </c>
      <c r="J707" s="2">
        <f t="shared" si="1"/>
        <v>1.66</v>
      </c>
      <c r="K707" s="2">
        <f t="shared" si="2"/>
        <v>1.66</v>
      </c>
      <c r="L707" s="2">
        <f t="shared" si="3"/>
        <v>116.2</v>
      </c>
      <c r="M707" s="2">
        <f t="shared" si="4"/>
        <v>0.1095770327</v>
      </c>
    </row>
    <row r="708" ht="15.75" customHeight="1">
      <c r="A708" s="3">
        <v>45013.0</v>
      </c>
      <c r="B708" s="2" t="s">
        <v>20</v>
      </c>
      <c r="C708" s="2" t="s">
        <v>21</v>
      </c>
      <c r="D708" s="2" t="s">
        <v>22</v>
      </c>
      <c r="E708" s="2">
        <v>4015.0</v>
      </c>
      <c r="F708" s="2">
        <v>240.89999999999998</v>
      </c>
      <c r="G708" s="2">
        <v>122.859</v>
      </c>
      <c r="H708" s="2">
        <v>26.0</v>
      </c>
      <c r="I708" s="2">
        <v>2432.0</v>
      </c>
      <c r="J708" s="2">
        <f t="shared" si="1"/>
        <v>0.51</v>
      </c>
      <c r="K708" s="2">
        <f t="shared" si="2"/>
        <v>0.51</v>
      </c>
      <c r="L708" s="2">
        <f t="shared" si="3"/>
        <v>30.6</v>
      </c>
      <c r="M708" s="2">
        <f t="shared" si="4"/>
        <v>0.1079286011</v>
      </c>
    </row>
    <row r="709" ht="15.75" customHeight="1">
      <c r="A709" s="3">
        <v>45013.0</v>
      </c>
      <c r="B709" s="2" t="s">
        <v>20</v>
      </c>
      <c r="C709" s="2" t="s">
        <v>23</v>
      </c>
      <c r="D709" s="2" t="s">
        <v>28</v>
      </c>
      <c r="E709" s="2">
        <v>5940.0</v>
      </c>
      <c r="F709" s="2">
        <v>178.2</v>
      </c>
      <c r="G709" s="2">
        <v>121.176</v>
      </c>
      <c r="H709" s="2">
        <v>29.0</v>
      </c>
      <c r="I709" s="2">
        <v>1529.0</v>
      </c>
      <c r="J709" s="2">
        <f t="shared" si="1"/>
        <v>0.68</v>
      </c>
      <c r="K709" s="2">
        <f t="shared" si="2"/>
        <v>0.68</v>
      </c>
      <c r="L709" s="2">
        <f t="shared" si="3"/>
        <v>20.4</v>
      </c>
      <c r="M709" s="2">
        <f t="shared" si="4"/>
        <v>0.1627384961</v>
      </c>
    </row>
    <row r="710" ht="15.75" customHeight="1">
      <c r="A710" s="3">
        <v>45013.0</v>
      </c>
      <c r="B710" s="2" t="s">
        <v>26</v>
      </c>
      <c r="C710" s="2" t="s">
        <v>27</v>
      </c>
      <c r="D710" s="2" t="s">
        <v>22</v>
      </c>
      <c r="E710" s="2">
        <v>9759.0</v>
      </c>
      <c r="F710" s="2">
        <v>195.18</v>
      </c>
      <c r="G710" s="2">
        <v>128.8188</v>
      </c>
      <c r="H710" s="2">
        <v>25.0</v>
      </c>
      <c r="I710" s="2">
        <v>188.0</v>
      </c>
      <c r="J710" s="2">
        <f t="shared" si="1"/>
        <v>0.66</v>
      </c>
      <c r="K710" s="2">
        <f t="shared" si="2"/>
        <v>0.66</v>
      </c>
      <c r="L710" s="2">
        <f t="shared" si="3"/>
        <v>13.2</v>
      </c>
      <c r="M710" s="2">
        <f t="shared" si="4"/>
        <v>0.1280868941</v>
      </c>
    </row>
    <row r="711" ht="15.75" customHeight="1">
      <c r="A711" s="3">
        <v>45013.0</v>
      </c>
      <c r="B711" s="2" t="s">
        <v>26</v>
      </c>
      <c r="C711" s="2" t="s">
        <v>31</v>
      </c>
      <c r="D711" s="2" t="s">
        <v>18</v>
      </c>
      <c r="E711" s="2">
        <v>12184.0</v>
      </c>
      <c r="F711" s="2">
        <v>609.2</v>
      </c>
      <c r="G711" s="2">
        <v>609.2</v>
      </c>
      <c r="H711" s="2">
        <v>122.0</v>
      </c>
      <c r="I711" s="2">
        <v>1981.0</v>
      </c>
      <c r="J711" s="2">
        <f t="shared" si="1"/>
        <v>1</v>
      </c>
      <c r="K711" s="2">
        <f t="shared" si="2"/>
        <v>1</v>
      </c>
      <c r="L711" s="2">
        <f t="shared" si="3"/>
        <v>50</v>
      </c>
      <c r="M711" s="2">
        <f t="shared" si="4"/>
        <v>0.2002626395</v>
      </c>
    </row>
    <row r="712" ht="15.75" customHeight="1">
      <c r="A712" s="3">
        <v>45013.0</v>
      </c>
      <c r="B712" s="2" t="s">
        <v>33</v>
      </c>
      <c r="C712" s="2" t="s">
        <v>34</v>
      </c>
      <c r="D712" s="2" t="s">
        <v>28</v>
      </c>
      <c r="E712" s="2">
        <v>2539.0</v>
      </c>
      <c r="F712" s="2">
        <v>152.34</v>
      </c>
      <c r="G712" s="2">
        <v>0.0</v>
      </c>
      <c r="H712" s="2">
        <v>9.0</v>
      </c>
      <c r="I712" s="2">
        <v>3878.0</v>
      </c>
      <c r="J712" s="2">
        <f t="shared" si="1"/>
        <v>0</v>
      </c>
      <c r="K712" s="2">
        <f t="shared" si="2"/>
        <v>0</v>
      </c>
      <c r="L712" s="2">
        <f t="shared" si="3"/>
        <v>0</v>
      </c>
      <c r="M712" s="2">
        <f t="shared" si="4"/>
        <v>0.05907837731</v>
      </c>
    </row>
    <row r="713" ht="15.75" customHeight="1">
      <c r="A713" s="3">
        <v>45013.0</v>
      </c>
      <c r="B713" s="2" t="s">
        <v>33</v>
      </c>
      <c r="C713" s="2" t="s">
        <v>35</v>
      </c>
      <c r="D713" s="2" t="s">
        <v>18</v>
      </c>
      <c r="E713" s="2">
        <v>4998.0</v>
      </c>
      <c r="F713" s="2">
        <v>199.92000000000002</v>
      </c>
      <c r="G713" s="2">
        <v>0.0</v>
      </c>
      <c r="H713" s="2">
        <v>18.0</v>
      </c>
      <c r="I713" s="2">
        <v>4682.0</v>
      </c>
      <c r="J713" s="2">
        <f t="shared" si="1"/>
        <v>0</v>
      </c>
      <c r="K713" s="2">
        <f t="shared" si="2"/>
        <v>0</v>
      </c>
      <c r="L713" s="2">
        <f t="shared" si="3"/>
        <v>0</v>
      </c>
      <c r="M713" s="2">
        <f t="shared" si="4"/>
        <v>0.09003601441</v>
      </c>
    </row>
    <row r="714" ht="15.75" customHeight="1">
      <c r="A714" s="3">
        <v>45014.0</v>
      </c>
      <c r="B714" s="2" t="s">
        <v>14</v>
      </c>
      <c r="C714" s="2" t="s">
        <v>15</v>
      </c>
      <c r="D714" s="2" t="s">
        <v>25</v>
      </c>
      <c r="E714" s="2">
        <v>6130.0</v>
      </c>
      <c r="F714" s="2">
        <v>245.20000000000002</v>
      </c>
      <c r="G714" s="2">
        <v>473.236</v>
      </c>
      <c r="H714" s="2">
        <v>47.0</v>
      </c>
      <c r="I714" s="2">
        <v>2445.0</v>
      </c>
      <c r="J714" s="2">
        <f t="shared" si="1"/>
        <v>1.93</v>
      </c>
      <c r="K714" s="2">
        <f t="shared" si="2"/>
        <v>1.93</v>
      </c>
      <c r="L714" s="2">
        <f t="shared" si="3"/>
        <v>77.2</v>
      </c>
      <c r="M714" s="2">
        <f t="shared" si="4"/>
        <v>0.191680261</v>
      </c>
    </row>
    <row r="715" ht="15.75" customHeight="1">
      <c r="A715" s="3">
        <v>45014.0</v>
      </c>
      <c r="B715" s="2" t="s">
        <v>14</v>
      </c>
      <c r="C715" s="2" t="s">
        <v>17</v>
      </c>
      <c r="D715" s="2" t="s">
        <v>16</v>
      </c>
      <c r="E715" s="2">
        <v>6059.0</v>
      </c>
      <c r="F715" s="2">
        <v>363.53999999999996</v>
      </c>
      <c r="G715" s="2">
        <v>432.61259999999993</v>
      </c>
      <c r="H715" s="2">
        <v>25.0</v>
      </c>
      <c r="I715" s="2">
        <v>4535.0</v>
      </c>
      <c r="J715" s="2">
        <f t="shared" si="1"/>
        <v>1.19</v>
      </c>
      <c r="K715" s="2">
        <f t="shared" si="2"/>
        <v>1.19</v>
      </c>
      <c r="L715" s="2">
        <f t="shared" si="3"/>
        <v>71.4</v>
      </c>
      <c r="M715" s="2">
        <f t="shared" si="4"/>
        <v>0.06876822358</v>
      </c>
    </row>
    <row r="716" ht="15.75" customHeight="1">
      <c r="A716" s="3">
        <v>45014.0</v>
      </c>
      <c r="B716" s="2" t="s">
        <v>20</v>
      </c>
      <c r="C716" s="2" t="s">
        <v>21</v>
      </c>
      <c r="D716" s="2" t="s">
        <v>18</v>
      </c>
      <c r="E716" s="2">
        <v>2981.0</v>
      </c>
      <c r="F716" s="2">
        <v>89.42999999999999</v>
      </c>
      <c r="G716" s="2">
        <v>152.9253</v>
      </c>
      <c r="H716" s="2">
        <v>11.0</v>
      </c>
      <c r="I716" s="2">
        <v>1789.0</v>
      </c>
      <c r="J716" s="2">
        <f t="shared" si="1"/>
        <v>1.71</v>
      </c>
      <c r="K716" s="2">
        <f t="shared" si="2"/>
        <v>1.71</v>
      </c>
      <c r="L716" s="2">
        <f t="shared" si="3"/>
        <v>51.3</v>
      </c>
      <c r="M716" s="2">
        <f t="shared" si="4"/>
        <v>0.12300123</v>
      </c>
    </row>
    <row r="717" ht="15.75" customHeight="1">
      <c r="A717" s="3">
        <v>45014.0</v>
      </c>
      <c r="B717" s="2" t="s">
        <v>20</v>
      </c>
      <c r="C717" s="2" t="s">
        <v>23</v>
      </c>
      <c r="D717" s="2" t="s">
        <v>18</v>
      </c>
      <c r="E717" s="2">
        <v>4085.0</v>
      </c>
      <c r="F717" s="2">
        <v>204.25</v>
      </c>
      <c r="G717" s="2">
        <v>281.86499999999995</v>
      </c>
      <c r="H717" s="2">
        <v>33.0</v>
      </c>
      <c r="I717" s="2">
        <v>2781.0</v>
      </c>
      <c r="J717" s="2">
        <f t="shared" si="1"/>
        <v>1.38</v>
      </c>
      <c r="K717" s="2">
        <f t="shared" si="2"/>
        <v>1.38</v>
      </c>
      <c r="L717" s="2">
        <f t="shared" si="3"/>
        <v>69</v>
      </c>
      <c r="M717" s="2">
        <f t="shared" si="4"/>
        <v>0.1615667075</v>
      </c>
    </row>
    <row r="718" ht="15.75" customHeight="1">
      <c r="A718" s="3">
        <v>45014.0</v>
      </c>
      <c r="B718" s="2" t="s">
        <v>26</v>
      </c>
      <c r="C718" s="2" t="s">
        <v>27</v>
      </c>
      <c r="D718" s="2" t="s">
        <v>19</v>
      </c>
      <c r="E718" s="2">
        <v>12461.0</v>
      </c>
      <c r="F718" s="2">
        <v>1121.49</v>
      </c>
      <c r="G718" s="2">
        <v>538.3152</v>
      </c>
      <c r="H718" s="2">
        <v>123.0</v>
      </c>
      <c r="I718" s="2">
        <v>4161.0</v>
      </c>
      <c r="J718" s="2">
        <f t="shared" si="1"/>
        <v>0.48</v>
      </c>
      <c r="K718" s="2">
        <f t="shared" si="2"/>
        <v>0.48</v>
      </c>
      <c r="L718" s="2">
        <f t="shared" si="3"/>
        <v>43.2</v>
      </c>
      <c r="M718" s="2">
        <f t="shared" si="4"/>
        <v>0.109675521</v>
      </c>
    </row>
    <row r="719" ht="15.75" customHeight="1">
      <c r="A719" s="3">
        <v>45014.0</v>
      </c>
      <c r="B719" s="2" t="s">
        <v>26</v>
      </c>
      <c r="C719" s="2" t="s">
        <v>31</v>
      </c>
      <c r="D719" s="2" t="s">
        <v>13</v>
      </c>
      <c r="E719" s="2">
        <v>14905.0</v>
      </c>
      <c r="F719" s="2">
        <v>298.1</v>
      </c>
      <c r="G719" s="2">
        <v>378.58700000000005</v>
      </c>
      <c r="H719" s="2">
        <v>15.0</v>
      </c>
      <c r="I719" s="2">
        <v>4169.0</v>
      </c>
      <c r="J719" s="2">
        <f t="shared" si="1"/>
        <v>1.27</v>
      </c>
      <c r="K719" s="2">
        <f t="shared" si="2"/>
        <v>1.27</v>
      </c>
      <c r="L719" s="2">
        <f t="shared" si="3"/>
        <v>25.4</v>
      </c>
      <c r="M719" s="2">
        <f t="shared" si="4"/>
        <v>0.05031868501</v>
      </c>
    </row>
    <row r="720" ht="15.75" customHeight="1">
      <c r="A720" s="3">
        <v>45014.0</v>
      </c>
      <c r="B720" s="2" t="s">
        <v>33</v>
      </c>
      <c r="C720" s="2" t="s">
        <v>34</v>
      </c>
      <c r="D720" s="2" t="s">
        <v>19</v>
      </c>
      <c r="E720" s="2">
        <v>3650.0</v>
      </c>
      <c r="F720" s="2">
        <v>328.5</v>
      </c>
      <c r="G720" s="2">
        <v>0.0</v>
      </c>
      <c r="H720" s="2">
        <v>30.0</v>
      </c>
      <c r="I720" s="2">
        <v>219.0</v>
      </c>
      <c r="J720" s="2">
        <f t="shared" si="1"/>
        <v>0</v>
      </c>
      <c r="K720" s="2">
        <f t="shared" si="2"/>
        <v>0</v>
      </c>
      <c r="L720" s="2">
        <f t="shared" si="3"/>
        <v>0</v>
      </c>
      <c r="M720" s="2">
        <f t="shared" si="4"/>
        <v>0.09132420091</v>
      </c>
    </row>
    <row r="721" ht="15.75" customHeight="1">
      <c r="A721" s="3">
        <v>45014.0</v>
      </c>
      <c r="B721" s="2" t="s">
        <v>33</v>
      </c>
      <c r="C721" s="2" t="s">
        <v>35</v>
      </c>
      <c r="D721" s="2" t="s">
        <v>25</v>
      </c>
      <c r="E721" s="2">
        <v>5234.0</v>
      </c>
      <c r="F721" s="2">
        <v>314.03999999999996</v>
      </c>
      <c r="G721" s="2">
        <v>0.0</v>
      </c>
      <c r="H721" s="2">
        <v>41.0</v>
      </c>
      <c r="I721" s="2">
        <v>4976.0</v>
      </c>
      <c r="J721" s="2">
        <f t="shared" si="1"/>
        <v>0</v>
      </c>
      <c r="K721" s="2">
        <f t="shared" si="2"/>
        <v>0</v>
      </c>
      <c r="L721" s="2">
        <f t="shared" si="3"/>
        <v>0</v>
      </c>
      <c r="M721" s="2">
        <f t="shared" si="4"/>
        <v>0.130556617</v>
      </c>
    </row>
    <row r="722" ht="15.75" customHeight="1">
      <c r="A722" s="3">
        <v>45015.0</v>
      </c>
      <c r="B722" s="2" t="s">
        <v>14</v>
      </c>
      <c r="C722" s="2" t="s">
        <v>15</v>
      </c>
      <c r="D722" s="2" t="s">
        <v>30</v>
      </c>
      <c r="E722" s="2">
        <v>9528.0</v>
      </c>
      <c r="F722" s="2">
        <v>476.40000000000003</v>
      </c>
      <c r="G722" s="2">
        <v>876.5760000000001</v>
      </c>
      <c r="H722" s="2">
        <v>91.0</v>
      </c>
      <c r="I722" s="2">
        <v>237.0</v>
      </c>
      <c r="J722" s="2">
        <f t="shared" si="1"/>
        <v>1.84</v>
      </c>
      <c r="K722" s="2">
        <f t="shared" si="2"/>
        <v>1.84</v>
      </c>
      <c r="L722" s="2">
        <f t="shared" si="3"/>
        <v>92</v>
      </c>
      <c r="M722" s="2">
        <f t="shared" si="4"/>
        <v>0.191015953</v>
      </c>
    </row>
    <row r="723" ht="15.75" customHeight="1">
      <c r="A723" s="3">
        <v>45015.0</v>
      </c>
      <c r="B723" s="2" t="s">
        <v>14</v>
      </c>
      <c r="C723" s="2" t="s">
        <v>17</v>
      </c>
      <c r="D723" s="2" t="s">
        <v>30</v>
      </c>
      <c r="E723" s="2">
        <v>9306.0</v>
      </c>
      <c r="F723" s="2">
        <v>837.54</v>
      </c>
      <c r="G723" s="2">
        <v>251.26199999999997</v>
      </c>
      <c r="H723" s="2">
        <v>134.0</v>
      </c>
      <c r="I723" s="2">
        <v>168.0</v>
      </c>
      <c r="J723" s="2">
        <f t="shared" si="1"/>
        <v>0.3</v>
      </c>
      <c r="K723" s="2">
        <f t="shared" si="2"/>
        <v>0.3</v>
      </c>
      <c r="L723" s="2">
        <f t="shared" si="3"/>
        <v>27</v>
      </c>
      <c r="M723" s="2">
        <f t="shared" si="4"/>
        <v>0.1599923586</v>
      </c>
    </row>
    <row r="724" ht="15.75" customHeight="1">
      <c r="A724" s="3">
        <v>45015.0</v>
      </c>
      <c r="B724" s="2" t="s">
        <v>20</v>
      </c>
      <c r="C724" s="2" t="s">
        <v>21</v>
      </c>
      <c r="D724" s="2" t="s">
        <v>24</v>
      </c>
      <c r="E724" s="2">
        <v>5403.0</v>
      </c>
      <c r="F724" s="2">
        <v>216.12</v>
      </c>
      <c r="G724" s="2">
        <v>105.8988</v>
      </c>
      <c r="H724" s="2">
        <v>30.0</v>
      </c>
      <c r="I724" s="2">
        <v>3029.0</v>
      </c>
      <c r="J724" s="2">
        <f t="shared" si="1"/>
        <v>0.49</v>
      </c>
      <c r="K724" s="2">
        <f t="shared" si="2"/>
        <v>0.49</v>
      </c>
      <c r="L724" s="2">
        <f t="shared" si="3"/>
        <v>19.6</v>
      </c>
      <c r="M724" s="2">
        <f t="shared" si="4"/>
        <v>0.1388117712</v>
      </c>
    </row>
    <row r="725" ht="15.75" customHeight="1">
      <c r="A725" s="3">
        <v>45015.0</v>
      </c>
      <c r="B725" s="2" t="s">
        <v>20</v>
      </c>
      <c r="C725" s="2" t="s">
        <v>23</v>
      </c>
      <c r="D725" s="2" t="s">
        <v>19</v>
      </c>
      <c r="E725" s="2">
        <v>5029.0</v>
      </c>
      <c r="F725" s="2">
        <v>150.87</v>
      </c>
      <c r="G725" s="2">
        <v>295.7052</v>
      </c>
      <c r="H725" s="2">
        <v>23.0</v>
      </c>
      <c r="I725" s="2">
        <v>750.0</v>
      </c>
      <c r="J725" s="2">
        <f t="shared" si="1"/>
        <v>1.96</v>
      </c>
      <c r="K725" s="2">
        <f t="shared" si="2"/>
        <v>1.96</v>
      </c>
      <c r="L725" s="2">
        <f t="shared" si="3"/>
        <v>58.8</v>
      </c>
      <c r="M725" s="2">
        <f t="shared" si="4"/>
        <v>0.1524491284</v>
      </c>
    </row>
    <row r="726" ht="15.75" customHeight="1">
      <c r="A726" s="3">
        <v>45015.0</v>
      </c>
      <c r="B726" s="2" t="s">
        <v>26</v>
      </c>
      <c r="C726" s="2" t="s">
        <v>27</v>
      </c>
      <c r="D726" s="2" t="s">
        <v>22</v>
      </c>
      <c r="E726" s="2">
        <v>13019.0</v>
      </c>
      <c r="F726" s="2">
        <v>1041.52</v>
      </c>
      <c r="G726" s="2">
        <v>770.7248</v>
      </c>
      <c r="H726" s="2">
        <v>125.0</v>
      </c>
      <c r="I726" s="2">
        <v>2929.0</v>
      </c>
      <c r="J726" s="2">
        <f t="shared" si="1"/>
        <v>0.74</v>
      </c>
      <c r="K726" s="2">
        <f t="shared" si="2"/>
        <v>0.74</v>
      </c>
      <c r="L726" s="2">
        <f t="shared" si="3"/>
        <v>59.2</v>
      </c>
      <c r="M726" s="2">
        <f t="shared" si="4"/>
        <v>0.1200168984</v>
      </c>
    </row>
    <row r="727" ht="15.75" customHeight="1">
      <c r="A727" s="3">
        <v>45015.0</v>
      </c>
      <c r="B727" s="2" t="s">
        <v>26</v>
      </c>
      <c r="C727" s="2" t="s">
        <v>31</v>
      </c>
      <c r="D727" s="2" t="s">
        <v>28</v>
      </c>
      <c r="E727" s="2">
        <v>13815.0</v>
      </c>
      <c r="F727" s="2">
        <v>276.3</v>
      </c>
      <c r="G727" s="2">
        <v>154.728</v>
      </c>
      <c r="H727" s="2">
        <v>28.0</v>
      </c>
      <c r="I727" s="2">
        <v>1270.0</v>
      </c>
      <c r="J727" s="2">
        <f t="shared" si="1"/>
        <v>0.56</v>
      </c>
      <c r="K727" s="2">
        <f t="shared" si="2"/>
        <v>0.56</v>
      </c>
      <c r="L727" s="2">
        <f t="shared" si="3"/>
        <v>11.2</v>
      </c>
      <c r="M727" s="2">
        <f t="shared" si="4"/>
        <v>0.1013391241</v>
      </c>
    </row>
    <row r="728" ht="15.75" customHeight="1">
      <c r="A728" s="3">
        <v>45015.0</v>
      </c>
      <c r="B728" s="2" t="s">
        <v>33</v>
      </c>
      <c r="C728" s="2" t="s">
        <v>34</v>
      </c>
      <c r="D728" s="2" t="s">
        <v>32</v>
      </c>
      <c r="E728" s="2">
        <v>5259.0</v>
      </c>
      <c r="F728" s="2">
        <v>315.53999999999996</v>
      </c>
      <c r="G728" s="2">
        <v>0.0</v>
      </c>
      <c r="H728" s="2">
        <v>57.0</v>
      </c>
      <c r="I728" s="2">
        <v>1200.0</v>
      </c>
      <c r="J728" s="2">
        <f t="shared" si="1"/>
        <v>0</v>
      </c>
      <c r="K728" s="2">
        <f t="shared" si="2"/>
        <v>0</v>
      </c>
      <c r="L728" s="2">
        <f t="shared" si="3"/>
        <v>0</v>
      </c>
      <c r="M728" s="2">
        <f t="shared" si="4"/>
        <v>0.1806427077</v>
      </c>
    </row>
    <row r="729" ht="15.75" customHeight="1">
      <c r="A729" s="3">
        <v>45015.0</v>
      </c>
      <c r="B729" s="2" t="s">
        <v>33</v>
      </c>
      <c r="C729" s="2" t="s">
        <v>35</v>
      </c>
      <c r="D729" s="2" t="s">
        <v>18</v>
      </c>
      <c r="E729" s="2">
        <v>4661.0</v>
      </c>
      <c r="F729" s="2">
        <v>466.1</v>
      </c>
      <c r="G729" s="2">
        <v>0.0</v>
      </c>
      <c r="H729" s="2">
        <v>51.0</v>
      </c>
      <c r="I729" s="2">
        <v>2980.0</v>
      </c>
      <c r="J729" s="2">
        <f t="shared" si="1"/>
        <v>0</v>
      </c>
      <c r="K729" s="2">
        <f t="shared" si="2"/>
        <v>0</v>
      </c>
      <c r="L729" s="2">
        <f t="shared" si="3"/>
        <v>0</v>
      </c>
      <c r="M729" s="2">
        <f t="shared" si="4"/>
        <v>0.1094185797</v>
      </c>
    </row>
    <row r="730" ht="15.75" customHeight="1">
      <c r="A730" s="3">
        <v>45016.0</v>
      </c>
      <c r="B730" s="2" t="s">
        <v>14</v>
      </c>
      <c r="C730" s="2" t="s">
        <v>15</v>
      </c>
      <c r="D730" s="2" t="s">
        <v>25</v>
      </c>
      <c r="E730" s="2">
        <v>5995.0</v>
      </c>
      <c r="F730" s="2">
        <v>539.55</v>
      </c>
      <c r="G730" s="2">
        <v>922.6304999999999</v>
      </c>
      <c r="H730" s="2">
        <v>108.0</v>
      </c>
      <c r="I730" s="2">
        <v>1531.0</v>
      </c>
      <c r="J730" s="2">
        <f t="shared" si="1"/>
        <v>1.71</v>
      </c>
      <c r="K730" s="2">
        <f t="shared" si="2"/>
        <v>1.71</v>
      </c>
      <c r="L730" s="2">
        <f t="shared" si="3"/>
        <v>153.9</v>
      </c>
      <c r="M730" s="2">
        <f t="shared" si="4"/>
        <v>0.2001668057</v>
      </c>
    </row>
    <row r="731" ht="15.75" customHeight="1">
      <c r="A731" s="3">
        <v>45016.0</v>
      </c>
      <c r="B731" s="2" t="s">
        <v>14</v>
      </c>
      <c r="C731" s="2" t="s">
        <v>17</v>
      </c>
      <c r="D731" s="2" t="s">
        <v>30</v>
      </c>
      <c r="E731" s="2">
        <v>7533.0</v>
      </c>
      <c r="F731" s="2">
        <v>753.3000000000001</v>
      </c>
      <c r="G731" s="2">
        <v>293.78700000000003</v>
      </c>
      <c r="H731" s="2">
        <v>113.0</v>
      </c>
      <c r="I731" s="2">
        <v>4434.0</v>
      </c>
      <c r="J731" s="2">
        <f t="shared" si="1"/>
        <v>0.39</v>
      </c>
      <c r="K731" s="2">
        <f t="shared" si="2"/>
        <v>0.39</v>
      </c>
      <c r="L731" s="2">
        <f t="shared" si="3"/>
        <v>39</v>
      </c>
      <c r="M731" s="2">
        <f t="shared" si="4"/>
        <v>0.1500066375</v>
      </c>
    </row>
    <row r="732" ht="15.75" customHeight="1">
      <c r="A732" s="3">
        <v>45016.0</v>
      </c>
      <c r="B732" s="2" t="s">
        <v>20</v>
      </c>
      <c r="C732" s="2" t="s">
        <v>21</v>
      </c>
      <c r="D732" s="2" t="s">
        <v>22</v>
      </c>
      <c r="E732" s="2">
        <v>3187.0</v>
      </c>
      <c r="F732" s="2">
        <v>95.61</v>
      </c>
      <c r="G732" s="2">
        <v>70.7514</v>
      </c>
      <c r="H732" s="2">
        <v>13.0</v>
      </c>
      <c r="I732" s="2">
        <v>1680.0</v>
      </c>
      <c r="J732" s="2">
        <f t="shared" si="1"/>
        <v>0.74</v>
      </c>
      <c r="K732" s="2">
        <f t="shared" si="2"/>
        <v>0.74</v>
      </c>
      <c r="L732" s="2">
        <f t="shared" si="3"/>
        <v>22.2</v>
      </c>
      <c r="M732" s="2">
        <f t="shared" si="4"/>
        <v>0.1359690409</v>
      </c>
    </row>
    <row r="733" ht="15.75" customHeight="1">
      <c r="A733" s="3">
        <v>45016.0</v>
      </c>
      <c r="B733" s="2" t="s">
        <v>20</v>
      </c>
      <c r="C733" s="2" t="s">
        <v>23</v>
      </c>
      <c r="D733" s="2" t="s">
        <v>13</v>
      </c>
      <c r="E733" s="2">
        <v>4314.0</v>
      </c>
      <c r="F733" s="2">
        <v>215.70000000000002</v>
      </c>
      <c r="G733" s="2">
        <v>213.543</v>
      </c>
      <c r="H733" s="2">
        <v>35.0</v>
      </c>
      <c r="I733" s="2">
        <v>4404.0</v>
      </c>
      <c r="J733" s="2">
        <f t="shared" si="1"/>
        <v>0.99</v>
      </c>
      <c r="K733" s="2">
        <f t="shared" si="2"/>
        <v>0.99</v>
      </c>
      <c r="L733" s="2">
        <f t="shared" si="3"/>
        <v>49.5</v>
      </c>
      <c r="M733" s="2">
        <f t="shared" si="4"/>
        <v>0.1622624015</v>
      </c>
    </row>
    <row r="734" ht="15.75" customHeight="1">
      <c r="A734" s="3">
        <v>45016.0</v>
      </c>
      <c r="B734" s="2" t="s">
        <v>26</v>
      </c>
      <c r="C734" s="2" t="s">
        <v>27</v>
      </c>
      <c r="D734" s="2" t="s">
        <v>22</v>
      </c>
      <c r="E734" s="2">
        <v>11544.0</v>
      </c>
      <c r="F734" s="2">
        <v>1154.4</v>
      </c>
      <c r="G734" s="2">
        <v>577.2</v>
      </c>
      <c r="H734" s="2">
        <v>81.0</v>
      </c>
      <c r="I734" s="2">
        <v>3440.0</v>
      </c>
      <c r="J734" s="2">
        <f t="shared" si="1"/>
        <v>0.5</v>
      </c>
      <c r="K734" s="2">
        <f t="shared" si="2"/>
        <v>0.5</v>
      </c>
      <c r="L734" s="2">
        <f t="shared" si="3"/>
        <v>50</v>
      </c>
      <c r="M734" s="2">
        <f t="shared" si="4"/>
        <v>0.07016632017</v>
      </c>
    </row>
    <row r="735" ht="15.75" customHeight="1">
      <c r="A735" s="3">
        <v>45016.0</v>
      </c>
      <c r="B735" s="2" t="s">
        <v>26</v>
      </c>
      <c r="C735" s="2" t="s">
        <v>31</v>
      </c>
      <c r="D735" s="2" t="s">
        <v>30</v>
      </c>
      <c r="E735" s="2">
        <v>14708.0</v>
      </c>
      <c r="F735" s="2">
        <v>1323.72</v>
      </c>
      <c r="G735" s="2">
        <v>2157.6636</v>
      </c>
      <c r="H735" s="2">
        <v>212.0</v>
      </c>
      <c r="I735" s="2">
        <v>3859.0</v>
      </c>
      <c r="J735" s="2">
        <f t="shared" si="1"/>
        <v>1.63</v>
      </c>
      <c r="K735" s="2">
        <f t="shared" si="2"/>
        <v>1.63</v>
      </c>
      <c r="L735" s="2">
        <f t="shared" si="3"/>
        <v>146.7</v>
      </c>
      <c r="M735" s="2">
        <f t="shared" si="4"/>
        <v>0.1601547155</v>
      </c>
    </row>
    <row r="736" ht="15.75" customHeight="1">
      <c r="A736" s="3">
        <v>45016.0</v>
      </c>
      <c r="B736" s="2" t="s">
        <v>33</v>
      </c>
      <c r="C736" s="2" t="s">
        <v>34</v>
      </c>
      <c r="D736" s="2" t="s">
        <v>19</v>
      </c>
      <c r="E736" s="2">
        <v>5889.0</v>
      </c>
      <c r="F736" s="2">
        <v>235.56</v>
      </c>
      <c r="G736" s="2">
        <v>0.0</v>
      </c>
      <c r="H736" s="2">
        <v>38.0</v>
      </c>
      <c r="I736" s="2">
        <v>3256.0</v>
      </c>
      <c r="J736" s="2">
        <f t="shared" si="1"/>
        <v>0</v>
      </c>
      <c r="K736" s="2">
        <f t="shared" si="2"/>
        <v>0</v>
      </c>
      <c r="L736" s="2">
        <f t="shared" si="3"/>
        <v>0</v>
      </c>
      <c r="M736" s="2">
        <f t="shared" si="4"/>
        <v>0.161317711</v>
      </c>
    </row>
    <row r="737" ht="15.75" customHeight="1">
      <c r="A737" s="3">
        <v>45016.0</v>
      </c>
      <c r="B737" s="2" t="s">
        <v>33</v>
      </c>
      <c r="C737" s="2" t="s">
        <v>35</v>
      </c>
      <c r="D737" s="2" t="s">
        <v>18</v>
      </c>
      <c r="E737" s="2">
        <v>3131.0</v>
      </c>
      <c r="F737" s="2">
        <v>313.1</v>
      </c>
      <c r="G737" s="2">
        <v>0.0</v>
      </c>
      <c r="H737" s="2">
        <v>44.0</v>
      </c>
      <c r="I737" s="2">
        <v>3912.0</v>
      </c>
      <c r="J737" s="2">
        <f t="shared" si="1"/>
        <v>0</v>
      </c>
      <c r="K737" s="2">
        <f t="shared" si="2"/>
        <v>0</v>
      </c>
      <c r="L737" s="2">
        <f t="shared" si="3"/>
        <v>0</v>
      </c>
      <c r="M737" s="2">
        <f t="shared" si="4"/>
        <v>0.1405301821</v>
      </c>
    </row>
    <row r="738" ht="15.75" customHeight="1">
      <c r="A738" s="3"/>
    </row>
    <row r="739" ht="15.75" customHeight="1">
      <c r="A739" s="1"/>
    </row>
    <row r="740" ht="15.75" customHeight="1">
      <c r="A740" s="1"/>
    </row>
    <row r="741" ht="15.75" customHeight="1">
      <c r="A741" s="1"/>
    </row>
    <row r="742" ht="15.75" customHeight="1">
      <c r="A742" s="1"/>
    </row>
    <row r="743" ht="15.75" customHeight="1">
      <c r="A743" s="1"/>
    </row>
    <row r="744" ht="15.75" customHeight="1">
      <c r="A744" s="1"/>
    </row>
    <row r="745" ht="15.75" customHeight="1">
      <c r="A745" s="1"/>
    </row>
    <row r="746" ht="15.75" customHeight="1">
      <c r="A746" s="1"/>
    </row>
    <row r="747" ht="15.75" customHeight="1">
      <c r="A747" s="1"/>
    </row>
    <row r="748" ht="15.75" customHeight="1">
      <c r="A748" s="1"/>
    </row>
    <row r="749" ht="15.75" customHeight="1">
      <c r="A749" s="1"/>
    </row>
    <row r="750" ht="15.75" customHeight="1">
      <c r="A750" s="1"/>
    </row>
    <row r="751" ht="15.75" customHeight="1">
      <c r="A751" s="1"/>
    </row>
    <row r="752" ht="15.75" customHeight="1">
      <c r="A752" s="1"/>
    </row>
    <row r="753" ht="15.75" customHeight="1">
      <c r="A753" s="1"/>
    </row>
    <row r="754" ht="15.75" customHeight="1">
      <c r="A754" s="1"/>
    </row>
    <row r="755" ht="15.75" customHeight="1">
      <c r="A755" s="1"/>
    </row>
    <row r="756" ht="15.75" customHeight="1">
      <c r="A756" s="1"/>
    </row>
    <row r="757" ht="15.75" customHeight="1">
      <c r="A757" s="1"/>
    </row>
    <row r="758" ht="15.75" customHeight="1">
      <c r="A758" s="1"/>
    </row>
    <row r="759" ht="15.75" customHeight="1">
      <c r="A759" s="1"/>
    </row>
    <row r="760" ht="15.75" customHeight="1">
      <c r="A760" s="1"/>
    </row>
    <row r="761" ht="15.75" customHeight="1">
      <c r="A761" s="1"/>
    </row>
    <row r="762" ht="15.75" customHeight="1">
      <c r="A762" s="1"/>
    </row>
    <row r="763" ht="15.75" customHeight="1">
      <c r="A763" s="1"/>
    </row>
    <row r="764" ht="15.75" customHeight="1">
      <c r="A764" s="1"/>
    </row>
    <row r="765" ht="15.75" customHeight="1">
      <c r="A765" s="1"/>
    </row>
    <row r="766" ht="15.75" customHeight="1">
      <c r="A766" s="1"/>
    </row>
    <row r="767" ht="15.75" customHeight="1">
      <c r="A767" s="1"/>
    </row>
    <row r="768" ht="15.75" customHeight="1">
      <c r="A768" s="1"/>
    </row>
    <row r="769" ht="15.75" customHeight="1">
      <c r="A769" s="1"/>
    </row>
    <row r="770" ht="15.75" customHeight="1">
      <c r="A770" s="1"/>
    </row>
    <row r="771" ht="15.75" customHeight="1">
      <c r="A771" s="1"/>
    </row>
    <row r="772" ht="15.75" customHeight="1">
      <c r="A772" s="1"/>
    </row>
    <row r="773" ht="15.75" customHeight="1">
      <c r="A773" s="1"/>
    </row>
    <row r="774" ht="15.75" customHeight="1">
      <c r="A774" s="1"/>
    </row>
    <row r="775" ht="15.75" customHeight="1">
      <c r="A775" s="1"/>
    </row>
    <row r="776" ht="15.75" customHeight="1">
      <c r="A776" s="1"/>
    </row>
    <row r="777" ht="15.75" customHeight="1">
      <c r="A777" s="1"/>
    </row>
    <row r="778" ht="15.75" customHeight="1">
      <c r="A778" s="1"/>
    </row>
    <row r="779" ht="15.75" customHeight="1">
      <c r="A779" s="1"/>
    </row>
    <row r="780" ht="15.75" customHeight="1">
      <c r="A780" s="1"/>
    </row>
    <row r="781" ht="15.75" customHeight="1">
      <c r="A781" s="1"/>
    </row>
    <row r="782" ht="15.75" customHeight="1">
      <c r="A782" s="1"/>
    </row>
    <row r="783" ht="15.75" customHeight="1">
      <c r="A783" s="1"/>
    </row>
    <row r="784" ht="15.75" customHeight="1">
      <c r="A784" s="1"/>
    </row>
    <row r="785" ht="15.75" customHeight="1">
      <c r="A785" s="1"/>
    </row>
    <row r="786" ht="15.75" customHeight="1">
      <c r="A786" s="1"/>
    </row>
    <row r="787" ht="15.75" customHeight="1">
      <c r="A787" s="1"/>
    </row>
    <row r="788" ht="15.75" customHeight="1">
      <c r="A788" s="1"/>
    </row>
    <row r="789" ht="15.75" customHeight="1">
      <c r="A789" s="1"/>
    </row>
    <row r="790" ht="15.75" customHeight="1">
      <c r="A790" s="1"/>
    </row>
    <row r="791" ht="15.75" customHeight="1">
      <c r="A791" s="1"/>
    </row>
    <row r="792" ht="15.75" customHeight="1">
      <c r="A792" s="1"/>
    </row>
    <row r="793" ht="15.75" customHeight="1">
      <c r="A793" s="1"/>
    </row>
    <row r="794" ht="15.75" customHeight="1">
      <c r="A794" s="1"/>
    </row>
    <row r="795" ht="15.75" customHeight="1">
      <c r="A795" s="1"/>
    </row>
    <row r="796" ht="15.75" customHeight="1">
      <c r="A796" s="1"/>
    </row>
    <row r="797" ht="15.75" customHeight="1">
      <c r="A797" s="1"/>
    </row>
    <row r="798" ht="15.75" customHeight="1">
      <c r="A798" s="1"/>
    </row>
    <row r="799" ht="15.75" customHeight="1">
      <c r="A799" s="1"/>
    </row>
    <row r="800" ht="15.75" customHeight="1">
      <c r="A800" s="1"/>
    </row>
    <row r="801" ht="15.75" customHeight="1">
      <c r="A801" s="1"/>
    </row>
    <row r="802" ht="15.75" customHeight="1">
      <c r="A802" s="1"/>
    </row>
    <row r="803" ht="15.75" customHeight="1">
      <c r="A803" s="1"/>
    </row>
    <row r="804" ht="15.75" customHeight="1">
      <c r="A804" s="1"/>
    </row>
    <row r="805" ht="15.75" customHeight="1">
      <c r="A805" s="1"/>
    </row>
    <row r="806" ht="15.75" customHeight="1">
      <c r="A806" s="1"/>
    </row>
    <row r="807" ht="15.75" customHeight="1">
      <c r="A807" s="1"/>
    </row>
    <row r="808" ht="15.75" customHeight="1">
      <c r="A808" s="1"/>
    </row>
    <row r="809" ht="15.75" customHeight="1">
      <c r="A809" s="1"/>
    </row>
    <row r="810" ht="15.75" customHeight="1">
      <c r="A810" s="1"/>
    </row>
    <row r="811" ht="15.75" customHeight="1">
      <c r="A811" s="1"/>
    </row>
    <row r="812" ht="15.75" customHeight="1">
      <c r="A812" s="1"/>
    </row>
    <row r="813" ht="15.75" customHeight="1">
      <c r="A813" s="1"/>
    </row>
    <row r="814" ht="15.75" customHeight="1">
      <c r="A814" s="1"/>
    </row>
    <row r="815" ht="15.75" customHeight="1">
      <c r="A815" s="1"/>
    </row>
    <row r="816" ht="15.75" customHeight="1">
      <c r="A816" s="1"/>
    </row>
    <row r="817" ht="15.75" customHeight="1">
      <c r="A817" s="1"/>
    </row>
    <row r="818" ht="15.75" customHeight="1">
      <c r="A818" s="1"/>
    </row>
    <row r="819" ht="15.75" customHeight="1">
      <c r="A819" s="1"/>
    </row>
    <row r="820" ht="15.75" customHeight="1">
      <c r="A820" s="1"/>
    </row>
    <row r="821" ht="15.75" customHeight="1">
      <c r="A821" s="1"/>
    </row>
    <row r="822" ht="15.75" customHeight="1">
      <c r="A822" s="1"/>
    </row>
    <row r="823" ht="15.75" customHeight="1">
      <c r="A823" s="1"/>
    </row>
    <row r="824" ht="15.75" customHeight="1">
      <c r="A824" s="1"/>
    </row>
    <row r="825" ht="15.75" customHeight="1">
      <c r="A825" s="1"/>
    </row>
    <row r="826" ht="15.75" customHeight="1">
      <c r="A826" s="1"/>
    </row>
    <row r="827" ht="15.75" customHeight="1">
      <c r="A827" s="1"/>
    </row>
    <row r="828" ht="15.75" customHeight="1">
      <c r="A828" s="1"/>
    </row>
    <row r="829" ht="15.75" customHeight="1">
      <c r="A829" s="1"/>
    </row>
    <row r="830" ht="15.75" customHeight="1">
      <c r="A830" s="1"/>
    </row>
    <row r="831" ht="15.75" customHeight="1">
      <c r="A831" s="1"/>
    </row>
    <row r="832" ht="15.75" customHeight="1">
      <c r="A832" s="1"/>
    </row>
    <row r="833" ht="15.75" customHeight="1">
      <c r="A833" s="1"/>
    </row>
    <row r="834" ht="15.75" customHeight="1">
      <c r="A834" s="1"/>
    </row>
    <row r="835" ht="15.75" customHeight="1">
      <c r="A835" s="1"/>
    </row>
    <row r="836" ht="15.75" customHeight="1">
      <c r="A836" s="1"/>
    </row>
    <row r="837" ht="15.75" customHeight="1">
      <c r="A837" s="1"/>
    </row>
    <row r="838" ht="15.75" customHeight="1">
      <c r="A838" s="1"/>
    </row>
    <row r="839" ht="15.75" customHeight="1">
      <c r="A839" s="1"/>
    </row>
    <row r="840" ht="15.75" customHeight="1">
      <c r="A840" s="1"/>
    </row>
    <row r="841" ht="15.75" customHeight="1">
      <c r="A841" s="1"/>
    </row>
    <row r="842" ht="15.75" customHeight="1">
      <c r="A842" s="1"/>
    </row>
    <row r="843" ht="15.75" customHeight="1">
      <c r="A843" s="1"/>
    </row>
    <row r="844" ht="15.75" customHeight="1">
      <c r="A844" s="1"/>
    </row>
    <row r="845" ht="15.75" customHeight="1">
      <c r="A845" s="1"/>
    </row>
    <row r="846" ht="15.75" customHeight="1">
      <c r="A846" s="1"/>
    </row>
    <row r="847" ht="15.75" customHeight="1">
      <c r="A847" s="1"/>
    </row>
    <row r="848" ht="15.75" customHeight="1">
      <c r="A848" s="1"/>
    </row>
    <row r="849" ht="15.75" customHeight="1">
      <c r="A849" s="1"/>
    </row>
    <row r="850" ht="15.75" customHeight="1">
      <c r="A850" s="1"/>
    </row>
    <row r="851" ht="15.75" customHeight="1">
      <c r="A851" s="1"/>
    </row>
    <row r="852" ht="15.75" customHeight="1">
      <c r="A852" s="1"/>
    </row>
    <row r="853" ht="15.75" customHeight="1">
      <c r="A853" s="1"/>
    </row>
    <row r="854" ht="15.75" customHeight="1">
      <c r="A854" s="1"/>
    </row>
    <row r="855" ht="15.75" customHeight="1">
      <c r="A855" s="1"/>
    </row>
    <row r="856" ht="15.75" customHeight="1">
      <c r="A856" s="1"/>
    </row>
    <row r="857" ht="15.75" customHeight="1">
      <c r="A857" s="1"/>
    </row>
    <row r="858" ht="15.75" customHeight="1">
      <c r="A858" s="1"/>
    </row>
    <row r="859" ht="15.75" customHeight="1">
      <c r="A859" s="1"/>
    </row>
    <row r="860" ht="15.75" customHeight="1">
      <c r="A860" s="1"/>
    </row>
    <row r="861" ht="15.75" customHeight="1">
      <c r="A861" s="1"/>
    </row>
    <row r="862" ht="15.75" customHeight="1">
      <c r="A862" s="1"/>
    </row>
    <row r="863" ht="15.75" customHeight="1">
      <c r="A863" s="1"/>
    </row>
    <row r="864" ht="15.75" customHeight="1">
      <c r="A864" s="1"/>
    </row>
    <row r="865" ht="15.75" customHeight="1">
      <c r="A865" s="1"/>
    </row>
    <row r="866" ht="15.75" customHeight="1">
      <c r="A866" s="1"/>
    </row>
    <row r="867" ht="15.75" customHeight="1">
      <c r="A867" s="1"/>
    </row>
    <row r="868" ht="15.75" customHeight="1">
      <c r="A868" s="1"/>
    </row>
    <row r="869" ht="15.75" customHeight="1">
      <c r="A869" s="1"/>
    </row>
    <row r="870" ht="15.75" customHeight="1">
      <c r="A870" s="1"/>
    </row>
    <row r="871" ht="15.75" customHeight="1">
      <c r="A871" s="1"/>
    </row>
    <row r="872" ht="15.75" customHeight="1">
      <c r="A872" s="1"/>
    </row>
    <row r="873" ht="15.75" customHeight="1">
      <c r="A873" s="1"/>
    </row>
    <row r="874" ht="15.75" customHeight="1">
      <c r="A874" s="1"/>
    </row>
    <row r="875" ht="15.75" customHeight="1">
      <c r="A875" s="1"/>
    </row>
    <row r="876" ht="15.75" customHeight="1">
      <c r="A876" s="1"/>
    </row>
    <row r="877" ht="15.75" customHeight="1">
      <c r="A877" s="1"/>
    </row>
    <row r="878" ht="15.75" customHeight="1">
      <c r="A878" s="1"/>
    </row>
    <row r="879" ht="15.75" customHeight="1">
      <c r="A879" s="1"/>
    </row>
    <row r="880" ht="15.75" customHeight="1">
      <c r="A880" s="1"/>
    </row>
    <row r="881" ht="15.75" customHeight="1">
      <c r="A881" s="1"/>
    </row>
    <row r="882" ht="15.75" customHeight="1">
      <c r="A882" s="1"/>
    </row>
    <row r="883" ht="15.75" customHeight="1">
      <c r="A883" s="1"/>
    </row>
    <row r="884" ht="15.75" customHeight="1">
      <c r="A884" s="1"/>
    </row>
    <row r="885" ht="15.75" customHeight="1">
      <c r="A885" s="1"/>
    </row>
    <row r="886" ht="15.75" customHeight="1">
      <c r="A886" s="1"/>
    </row>
    <row r="887" ht="15.75" customHeight="1">
      <c r="A887" s="1"/>
    </row>
    <row r="888" ht="15.75" customHeight="1">
      <c r="A888" s="1"/>
    </row>
    <row r="889" ht="15.75" customHeight="1">
      <c r="A889" s="1"/>
    </row>
    <row r="890" ht="15.75" customHeight="1">
      <c r="A890" s="1"/>
    </row>
    <row r="891" ht="15.75" customHeight="1">
      <c r="A891" s="1"/>
    </row>
    <row r="892" ht="15.75" customHeight="1">
      <c r="A892" s="1"/>
    </row>
    <row r="893" ht="15.75" customHeight="1">
      <c r="A893" s="1"/>
    </row>
    <row r="894" ht="15.75" customHeight="1">
      <c r="A894" s="1"/>
    </row>
    <row r="895" ht="15.75" customHeight="1">
      <c r="A895" s="1"/>
    </row>
    <row r="896" ht="15.75" customHeight="1">
      <c r="A896" s="1"/>
    </row>
    <row r="897" ht="15.75" customHeight="1">
      <c r="A897" s="1"/>
    </row>
    <row r="898" ht="15.75" customHeight="1">
      <c r="A898" s="1"/>
    </row>
    <row r="899" ht="15.75" customHeight="1">
      <c r="A899" s="1"/>
    </row>
    <row r="900" ht="15.75" customHeight="1">
      <c r="A900" s="1"/>
    </row>
    <row r="901" ht="15.75" customHeight="1">
      <c r="A901" s="1"/>
    </row>
    <row r="902" ht="15.75" customHeight="1">
      <c r="A902" s="1"/>
    </row>
    <row r="903" ht="15.75" customHeight="1">
      <c r="A903" s="1"/>
    </row>
    <row r="904" ht="15.75" customHeight="1">
      <c r="A904" s="1"/>
    </row>
    <row r="905" ht="15.75" customHeight="1">
      <c r="A905" s="1"/>
    </row>
    <row r="906" ht="15.75" customHeight="1">
      <c r="A906" s="1"/>
    </row>
    <row r="907" ht="15.75" customHeight="1">
      <c r="A907" s="1"/>
    </row>
    <row r="908" ht="15.75" customHeight="1">
      <c r="A908" s="1"/>
    </row>
    <row r="909" ht="15.75" customHeight="1">
      <c r="A909" s="1"/>
    </row>
    <row r="910" ht="15.75" customHeight="1">
      <c r="A910" s="1"/>
    </row>
    <row r="911" ht="15.75" customHeight="1">
      <c r="A911" s="1"/>
    </row>
    <row r="912" ht="15.75" customHeight="1">
      <c r="A912" s="1"/>
    </row>
    <row r="913" ht="15.75" customHeight="1">
      <c r="A913" s="1"/>
    </row>
    <row r="914" ht="15.75" customHeight="1">
      <c r="A914" s="1"/>
    </row>
    <row r="915" ht="15.75" customHeight="1">
      <c r="A915" s="1"/>
    </row>
    <row r="916" ht="15.75" customHeight="1">
      <c r="A916" s="1"/>
    </row>
    <row r="917" ht="15.75" customHeight="1">
      <c r="A917" s="1"/>
    </row>
    <row r="918" ht="15.75" customHeight="1">
      <c r="A918" s="1"/>
    </row>
    <row r="919" ht="15.75" customHeight="1">
      <c r="A919" s="1"/>
    </row>
    <row r="920" ht="15.75" customHeight="1">
      <c r="A920" s="1"/>
    </row>
    <row r="921" ht="15.75" customHeight="1">
      <c r="A921" s="1"/>
    </row>
    <row r="922" ht="15.75" customHeight="1">
      <c r="A922" s="1"/>
    </row>
    <row r="923" ht="15.75" customHeight="1">
      <c r="A923" s="1"/>
    </row>
    <row r="924" ht="15.75" customHeight="1">
      <c r="A924" s="1"/>
    </row>
    <row r="925" ht="15.75" customHeight="1">
      <c r="A925" s="1"/>
    </row>
    <row r="926" ht="15.75" customHeight="1">
      <c r="A926" s="1"/>
    </row>
    <row r="927" ht="15.75" customHeight="1">
      <c r="A927" s="1"/>
    </row>
    <row r="928" ht="15.75" customHeight="1">
      <c r="A928" s="1"/>
    </row>
    <row r="929" ht="15.75" customHeight="1">
      <c r="A929" s="1"/>
    </row>
    <row r="930" ht="15.75" customHeight="1">
      <c r="A930" s="1"/>
    </row>
    <row r="931" ht="15.75" customHeight="1">
      <c r="A931" s="1"/>
    </row>
    <row r="932" ht="15.75" customHeight="1">
      <c r="A932" s="1"/>
    </row>
    <row r="933" ht="15.75" customHeight="1">
      <c r="A933" s="1"/>
    </row>
    <row r="934" ht="15.75" customHeight="1">
      <c r="A934" s="1"/>
    </row>
    <row r="935" ht="15.75" customHeight="1">
      <c r="A935" s="1"/>
    </row>
    <row r="936" ht="15.75" customHeight="1">
      <c r="A936" s="1"/>
    </row>
    <row r="937" ht="15.75" customHeight="1">
      <c r="A937" s="1"/>
    </row>
    <row r="938" ht="15.75" customHeight="1">
      <c r="A938" s="1"/>
    </row>
    <row r="939" ht="15.75" customHeight="1">
      <c r="A939" s="1"/>
    </row>
    <row r="940" ht="15.75" customHeight="1">
      <c r="A940" s="1"/>
    </row>
    <row r="941" ht="15.75" customHeight="1">
      <c r="A941" s="1"/>
    </row>
    <row r="942" ht="15.75" customHeight="1">
      <c r="A942" s="1"/>
    </row>
    <row r="943" ht="15.75" customHeight="1">
      <c r="A943" s="1"/>
    </row>
    <row r="944" ht="15.75" customHeight="1">
      <c r="A944" s="1"/>
    </row>
    <row r="945" ht="15.75" customHeight="1">
      <c r="A945" s="1"/>
    </row>
    <row r="946" ht="15.75" customHeight="1">
      <c r="A946" s="1"/>
    </row>
    <row r="947" ht="15.75" customHeight="1">
      <c r="A947" s="1"/>
    </row>
    <row r="948" ht="15.75" customHeight="1">
      <c r="A948" s="1"/>
    </row>
    <row r="949" ht="15.75" customHeight="1">
      <c r="A949" s="1"/>
    </row>
    <row r="950" ht="15.75" customHeight="1">
      <c r="A950" s="1"/>
    </row>
    <row r="951" ht="15.75" customHeight="1">
      <c r="A951" s="1"/>
    </row>
    <row r="952" ht="15.75" customHeight="1">
      <c r="A952" s="1"/>
    </row>
    <row r="953" ht="15.75" customHeight="1">
      <c r="A953" s="1"/>
    </row>
    <row r="954" ht="15.75" customHeight="1">
      <c r="A954" s="1"/>
    </row>
    <row r="955" ht="15.75" customHeight="1">
      <c r="A955" s="1"/>
    </row>
    <row r="956" ht="15.75" customHeight="1">
      <c r="A956" s="1"/>
    </row>
    <row r="957" ht="15.75" customHeight="1">
      <c r="A957" s="1"/>
    </row>
    <row r="958" ht="15.75" customHeight="1">
      <c r="A958" s="1"/>
    </row>
    <row r="959" ht="15.75" customHeight="1">
      <c r="A959" s="1"/>
    </row>
    <row r="960" ht="15.75" customHeight="1">
      <c r="A960" s="1"/>
    </row>
    <row r="961" ht="15.75" customHeight="1">
      <c r="A961" s="1"/>
    </row>
    <row r="962" ht="15.75" customHeight="1">
      <c r="A962" s="1"/>
    </row>
    <row r="963" ht="15.75" customHeight="1">
      <c r="A963" s="1"/>
    </row>
    <row r="964" ht="15.75" customHeight="1">
      <c r="A964" s="1"/>
    </row>
    <row r="965" ht="15.75" customHeight="1">
      <c r="A965" s="1"/>
    </row>
    <row r="966" ht="15.75" customHeight="1">
      <c r="A966" s="1"/>
    </row>
    <row r="967" ht="15.75" customHeight="1">
      <c r="A967" s="1"/>
    </row>
    <row r="968" ht="15.75" customHeight="1">
      <c r="A968" s="1"/>
    </row>
    <row r="969" ht="15.75" customHeight="1">
      <c r="A969" s="1"/>
    </row>
    <row r="970" ht="15.75" customHeight="1">
      <c r="A970" s="1"/>
    </row>
    <row r="971" ht="15.75" customHeight="1">
      <c r="A971" s="1"/>
    </row>
    <row r="972" ht="15.75" customHeight="1">
      <c r="A972" s="1"/>
    </row>
    <row r="973" ht="15.75" customHeight="1">
      <c r="A973" s="1"/>
    </row>
    <row r="974" ht="15.75" customHeight="1">
      <c r="A974" s="1"/>
    </row>
    <row r="975" ht="15.75" customHeight="1">
      <c r="A975" s="1"/>
    </row>
    <row r="976" ht="15.75" customHeight="1">
      <c r="A976" s="1"/>
    </row>
    <row r="977" ht="15.75" customHeight="1">
      <c r="A977" s="1"/>
    </row>
    <row r="978" ht="15.75" customHeight="1">
      <c r="A978" s="1"/>
    </row>
    <row r="979" ht="15.75" customHeight="1">
      <c r="A979" s="1"/>
    </row>
    <row r="980" ht="15.75" customHeight="1">
      <c r="A980" s="1"/>
    </row>
    <row r="981" ht="15.75" customHeight="1">
      <c r="A981" s="1"/>
    </row>
    <row r="982" ht="15.75" customHeight="1">
      <c r="A982" s="1"/>
    </row>
    <row r="983" ht="15.75" customHeight="1">
      <c r="A983" s="1"/>
    </row>
    <row r="984" ht="15.75" customHeight="1">
      <c r="A984" s="1"/>
    </row>
    <row r="985" ht="15.75" customHeight="1">
      <c r="A985" s="1"/>
    </row>
    <row r="986" ht="15.75" customHeight="1">
      <c r="A986" s="1"/>
    </row>
    <row r="987" ht="15.75" customHeight="1">
      <c r="A987" s="1"/>
    </row>
    <row r="988" ht="15.75" customHeight="1">
      <c r="A988" s="1"/>
    </row>
    <row r="989" ht="15.75" customHeight="1">
      <c r="A989" s="1"/>
    </row>
    <row r="990" ht="15.75" customHeight="1">
      <c r="A990" s="1"/>
    </row>
    <row r="991" ht="15.75" customHeight="1">
      <c r="A991" s="1"/>
    </row>
    <row r="992" ht="15.75" customHeight="1">
      <c r="A992" s="1"/>
    </row>
    <row r="993" ht="15.75" customHeight="1">
      <c r="A993" s="1"/>
    </row>
    <row r="994" ht="15.75" customHeight="1">
      <c r="A994" s="1"/>
    </row>
    <row r="995" ht="15.75" customHeight="1">
      <c r="A995" s="1"/>
    </row>
    <row r="996" ht="15.75" customHeight="1">
      <c r="A996" s="1"/>
    </row>
    <row r="997" ht="15.75" customHeight="1">
      <c r="A997" s="1"/>
    </row>
    <row r="998" ht="15.75" customHeight="1">
      <c r="A998" s="1"/>
    </row>
    <row r="999" ht="15.75" customHeight="1">
      <c r="A999" s="1"/>
    </row>
    <row r="1000" ht="15.75" customHeight="1">
      <c r="A100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3.29"/>
    <col customWidth="1" min="3" max="3" width="17.29"/>
    <col customWidth="1" min="4" max="4" width="34.29"/>
    <col customWidth="1" min="5" max="5" width="13.0"/>
    <col customWidth="1" min="6" max="6" width="8.0"/>
    <col customWidth="1" min="7" max="7" width="10.0"/>
    <col customWidth="1" min="8" max="8" width="13.86"/>
    <col customWidth="1" min="9" max="9" width="12.71"/>
    <col customWidth="1" min="10" max="10" width="23.43"/>
    <col customWidth="1" min="11" max="11" width="20.0"/>
    <col customWidth="1" min="12" max="12" width="10.0"/>
    <col customWidth="1" min="13" max="13" width="17.86"/>
    <col customWidth="1" min="14" max="15" width="10.71"/>
    <col customWidth="1" min="16" max="16" width="34.29"/>
    <col customWidth="1" min="17" max="26" width="10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P1" s="2" t="s">
        <v>13</v>
      </c>
    </row>
    <row r="2">
      <c r="A2" s="3">
        <v>44927.0</v>
      </c>
      <c r="B2" s="2" t="s">
        <v>14</v>
      </c>
      <c r="C2" s="2" t="s">
        <v>15</v>
      </c>
      <c r="D2" s="2" t="s">
        <v>16</v>
      </c>
      <c r="E2" s="2">
        <f t="shared" ref="E2:E737" si="1">IF(B2="Paid Social", RANDBETWEEN(8000,15000),
 IF(B2="Paid Search", RANDBETWEEN(4000,9000),
 IF(B2="Programmatic", RANDBETWEEN(5000,11000),
 RANDBETWEEN(2000,6000))))</f>
        <v>5334</v>
      </c>
      <c r="F2" s="2">
        <f t="shared" ref="F2:F737" si="2">E2*(RANDBETWEEN(2,10)/100)</f>
        <v>160.02</v>
      </c>
      <c r="G2" s="2">
        <f t="shared" ref="G2:G737" si="3">IF(B2="ORGANIC ",0,F2*(RANDBETWEEN(30,200)/100))</f>
        <v>67.2084</v>
      </c>
      <c r="H2" s="2">
        <f t="shared" ref="H2:H737" si="4">ROUND(F2*(RANDBETWEEN(5,20)/100),0)</f>
        <v>18</v>
      </c>
      <c r="I2" s="2">
        <f t="shared" ref="I2:I737" si="5">RANDBETWEEN(100,5000)</f>
        <v>4350</v>
      </c>
      <c r="J2" s="2">
        <f>G2/F2</f>
        <v>0.42</v>
      </c>
      <c r="K2" s="2">
        <f>G2/F2</f>
        <v>0.42</v>
      </c>
      <c r="L2" s="2">
        <f>(G2/E2)/1000</f>
        <v>0.0000126</v>
      </c>
      <c r="M2" s="2">
        <f>H2/F2</f>
        <v>0.1124859393</v>
      </c>
      <c r="P2" s="2" t="s">
        <v>16</v>
      </c>
    </row>
    <row r="3">
      <c r="A3" s="3">
        <v>44927.0</v>
      </c>
      <c r="B3" s="2" t="s">
        <v>14</v>
      </c>
      <c r="C3" s="2" t="s">
        <v>17</v>
      </c>
      <c r="D3" s="2" t="s">
        <v>18</v>
      </c>
      <c r="E3" s="2">
        <f t="shared" si="1"/>
        <v>8031</v>
      </c>
      <c r="F3" s="2">
        <f t="shared" si="2"/>
        <v>481.86</v>
      </c>
      <c r="G3" s="2">
        <f t="shared" si="3"/>
        <v>226.4742</v>
      </c>
      <c r="H3" s="2">
        <f t="shared" si="4"/>
        <v>34</v>
      </c>
      <c r="I3" s="2">
        <f t="shared" si="5"/>
        <v>4621</v>
      </c>
      <c r="P3" s="2" t="s">
        <v>19</v>
      </c>
    </row>
    <row r="4">
      <c r="A4" s="3">
        <v>44927.0</v>
      </c>
      <c r="B4" s="2" t="s">
        <v>20</v>
      </c>
      <c r="C4" s="2" t="s">
        <v>21</v>
      </c>
      <c r="D4" s="2" t="s">
        <v>13</v>
      </c>
      <c r="E4" s="2">
        <f t="shared" si="1"/>
        <v>3853</v>
      </c>
      <c r="F4" s="2">
        <f t="shared" si="2"/>
        <v>192.65</v>
      </c>
      <c r="G4" s="2">
        <f t="shared" si="3"/>
        <v>269.71</v>
      </c>
      <c r="H4" s="2">
        <f t="shared" si="4"/>
        <v>35</v>
      </c>
      <c r="I4" s="2">
        <f t="shared" si="5"/>
        <v>1746</v>
      </c>
      <c r="P4" s="2" t="s">
        <v>22</v>
      </c>
    </row>
    <row r="5">
      <c r="A5" s="3">
        <v>44927.0</v>
      </c>
      <c r="B5" s="2" t="s">
        <v>20</v>
      </c>
      <c r="C5" s="2" t="s">
        <v>23</v>
      </c>
      <c r="D5" s="2" t="s">
        <v>24</v>
      </c>
      <c r="E5" s="2">
        <f t="shared" si="1"/>
        <v>4999</v>
      </c>
      <c r="F5" s="2">
        <f t="shared" si="2"/>
        <v>199.96</v>
      </c>
      <c r="G5" s="2">
        <f t="shared" si="3"/>
        <v>353.9292</v>
      </c>
      <c r="H5" s="2">
        <f t="shared" si="4"/>
        <v>32</v>
      </c>
      <c r="I5" s="2">
        <f t="shared" si="5"/>
        <v>3208</v>
      </c>
      <c r="P5" s="2" t="s">
        <v>25</v>
      </c>
    </row>
    <row r="6">
      <c r="A6" s="3">
        <v>44927.0</v>
      </c>
      <c r="B6" s="2" t="s">
        <v>26</v>
      </c>
      <c r="C6" s="2" t="s">
        <v>27</v>
      </c>
      <c r="D6" s="2" t="s">
        <v>28</v>
      </c>
      <c r="E6" s="2">
        <f t="shared" si="1"/>
        <v>8736</v>
      </c>
      <c r="F6" s="2">
        <f t="shared" si="2"/>
        <v>349.44</v>
      </c>
      <c r="G6" s="2">
        <f t="shared" si="3"/>
        <v>496.2048</v>
      </c>
      <c r="H6" s="2">
        <f t="shared" si="4"/>
        <v>70</v>
      </c>
      <c r="I6" s="2">
        <f t="shared" si="5"/>
        <v>725</v>
      </c>
      <c r="P6" s="2" t="s">
        <v>30</v>
      </c>
    </row>
    <row r="7">
      <c r="A7" s="3">
        <v>44927.0</v>
      </c>
      <c r="B7" s="2" t="s">
        <v>26</v>
      </c>
      <c r="C7" s="2" t="s">
        <v>31</v>
      </c>
      <c r="D7" s="2" t="s">
        <v>18</v>
      </c>
      <c r="E7" s="2">
        <f t="shared" si="1"/>
        <v>14896</v>
      </c>
      <c r="F7" s="2">
        <f t="shared" si="2"/>
        <v>1489.6</v>
      </c>
      <c r="G7" s="2">
        <f t="shared" si="3"/>
        <v>1072.512</v>
      </c>
      <c r="H7" s="2">
        <f t="shared" si="4"/>
        <v>223</v>
      </c>
      <c r="I7" s="2">
        <f t="shared" si="5"/>
        <v>451</v>
      </c>
      <c r="P7" s="2" t="s">
        <v>32</v>
      </c>
    </row>
    <row r="8">
      <c r="A8" s="3">
        <v>44927.0</v>
      </c>
      <c r="B8" s="2" t="s">
        <v>33</v>
      </c>
      <c r="C8" s="2" t="s">
        <v>34</v>
      </c>
      <c r="D8" s="2" t="s">
        <v>19</v>
      </c>
      <c r="E8" s="2">
        <f t="shared" si="1"/>
        <v>3998</v>
      </c>
      <c r="F8" s="2">
        <f t="shared" si="2"/>
        <v>199.9</v>
      </c>
      <c r="G8" s="2">
        <f t="shared" si="3"/>
        <v>0</v>
      </c>
      <c r="H8" s="2">
        <f t="shared" si="4"/>
        <v>20</v>
      </c>
      <c r="I8" s="2">
        <f t="shared" si="5"/>
        <v>4758</v>
      </c>
      <c r="P8" s="2" t="s">
        <v>18</v>
      </c>
    </row>
    <row r="9">
      <c r="A9" s="3">
        <v>44927.0</v>
      </c>
      <c r="B9" s="2" t="s">
        <v>33</v>
      </c>
      <c r="C9" s="2" t="s">
        <v>35</v>
      </c>
      <c r="D9" s="2" t="s">
        <v>22</v>
      </c>
      <c r="E9" s="2">
        <f t="shared" si="1"/>
        <v>5580</v>
      </c>
      <c r="F9" s="2">
        <f t="shared" si="2"/>
        <v>558</v>
      </c>
      <c r="G9" s="2">
        <f t="shared" si="3"/>
        <v>0</v>
      </c>
      <c r="H9" s="2">
        <f t="shared" si="4"/>
        <v>45</v>
      </c>
      <c r="I9" s="2">
        <f t="shared" si="5"/>
        <v>185</v>
      </c>
      <c r="P9" s="2" t="s">
        <v>24</v>
      </c>
    </row>
    <row r="10">
      <c r="A10" s="3">
        <v>44928.0</v>
      </c>
      <c r="B10" s="2" t="s">
        <v>14</v>
      </c>
      <c r="C10" s="2" t="s">
        <v>15</v>
      </c>
      <c r="D10" s="2" t="s">
        <v>13</v>
      </c>
      <c r="E10" s="2">
        <f t="shared" si="1"/>
        <v>9345</v>
      </c>
      <c r="F10" s="2">
        <f t="shared" si="2"/>
        <v>747.6</v>
      </c>
      <c r="G10" s="2">
        <f t="shared" si="3"/>
        <v>1016.736</v>
      </c>
      <c r="H10" s="2">
        <f t="shared" si="4"/>
        <v>120</v>
      </c>
      <c r="I10" s="2">
        <f t="shared" si="5"/>
        <v>1564</v>
      </c>
      <c r="P10" s="2" t="s">
        <v>28</v>
      </c>
    </row>
    <row r="11">
      <c r="A11" s="3">
        <v>44928.0</v>
      </c>
      <c r="B11" s="2" t="s">
        <v>14</v>
      </c>
      <c r="C11" s="2" t="s">
        <v>17</v>
      </c>
      <c r="D11" s="2" t="s">
        <v>24</v>
      </c>
      <c r="E11" s="2">
        <f t="shared" si="1"/>
        <v>8522</v>
      </c>
      <c r="F11" s="2">
        <f t="shared" si="2"/>
        <v>852.2</v>
      </c>
      <c r="G11" s="2">
        <f t="shared" si="3"/>
        <v>332.358</v>
      </c>
      <c r="H11" s="2">
        <f t="shared" si="4"/>
        <v>111</v>
      </c>
      <c r="I11" s="2">
        <f t="shared" si="5"/>
        <v>157</v>
      </c>
    </row>
    <row r="12">
      <c r="A12" s="3">
        <v>44928.0</v>
      </c>
      <c r="B12" s="2" t="s">
        <v>20</v>
      </c>
      <c r="C12" s="2" t="s">
        <v>21</v>
      </c>
      <c r="D12" s="2" t="s">
        <v>30</v>
      </c>
      <c r="E12" s="2">
        <f t="shared" si="1"/>
        <v>3377</v>
      </c>
      <c r="F12" s="2">
        <f t="shared" si="2"/>
        <v>202.62</v>
      </c>
      <c r="G12" s="2">
        <f t="shared" si="3"/>
        <v>269.4846</v>
      </c>
      <c r="H12" s="2">
        <f t="shared" si="4"/>
        <v>16</v>
      </c>
      <c r="I12" s="2">
        <f t="shared" si="5"/>
        <v>4415</v>
      </c>
    </row>
    <row r="13">
      <c r="A13" s="3">
        <v>44928.0</v>
      </c>
      <c r="B13" s="2" t="s">
        <v>20</v>
      </c>
      <c r="C13" s="2" t="s">
        <v>23</v>
      </c>
      <c r="D13" s="2" t="s">
        <v>32</v>
      </c>
      <c r="E13" s="2">
        <f t="shared" si="1"/>
        <v>3828</v>
      </c>
      <c r="F13" s="2">
        <f t="shared" si="2"/>
        <v>114.84</v>
      </c>
      <c r="G13" s="2">
        <f t="shared" si="3"/>
        <v>225.0864</v>
      </c>
      <c r="H13" s="2">
        <f t="shared" si="4"/>
        <v>21</v>
      </c>
      <c r="I13" s="2">
        <f t="shared" si="5"/>
        <v>4236</v>
      </c>
    </row>
    <row r="14">
      <c r="A14" s="3">
        <v>44928.0</v>
      </c>
      <c r="B14" s="2" t="s">
        <v>26</v>
      </c>
      <c r="C14" s="2" t="s">
        <v>27</v>
      </c>
      <c r="D14" s="2" t="s">
        <v>19</v>
      </c>
      <c r="E14" s="2">
        <f t="shared" si="1"/>
        <v>13539</v>
      </c>
      <c r="F14" s="2">
        <f t="shared" si="2"/>
        <v>541.56</v>
      </c>
      <c r="G14" s="2">
        <f t="shared" si="3"/>
        <v>509.0664</v>
      </c>
      <c r="H14" s="2">
        <f t="shared" si="4"/>
        <v>76</v>
      </c>
      <c r="I14" s="2">
        <f t="shared" si="5"/>
        <v>2720</v>
      </c>
    </row>
    <row r="15">
      <c r="A15" s="3">
        <v>44928.0</v>
      </c>
      <c r="B15" s="2" t="s">
        <v>26</v>
      </c>
      <c r="C15" s="2" t="s">
        <v>31</v>
      </c>
      <c r="D15" s="2" t="s">
        <v>30</v>
      </c>
      <c r="E15" s="2">
        <f t="shared" si="1"/>
        <v>8645</v>
      </c>
      <c r="F15" s="2">
        <f t="shared" si="2"/>
        <v>864.5</v>
      </c>
      <c r="G15" s="2">
        <f t="shared" si="3"/>
        <v>1054.69</v>
      </c>
      <c r="H15" s="2">
        <f t="shared" si="4"/>
        <v>86</v>
      </c>
      <c r="I15" s="2">
        <f t="shared" si="5"/>
        <v>178</v>
      </c>
    </row>
    <row r="16">
      <c r="A16" s="3">
        <v>44928.0</v>
      </c>
      <c r="B16" s="2" t="s">
        <v>33</v>
      </c>
      <c r="C16" s="2" t="s">
        <v>34</v>
      </c>
      <c r="D16" s="2" t="s">
        <v>19</v>
      </c>
      <c r="E16" s="2">
        <f t="shared" si="1"/>
        <v>5926</v>
      </c>
      <c r="F16" s="2">
        <f t="shared" si="2"/>
        <v>414.82</v>
      </c>
      <c r="G16" s="2">
        <f t="shared" si="3"/>
        <v>0</v>
      </c>
      <c r="H16" s="2">
        <f t="shared" si="4"/>
        <v>21</v>
      </c>
      <c r="I16" s="2">
        <f t="shared" si="5"/>
        <v>4381</v>
      </c>
    </row>
    <row r="17">
      <c r="A17" s="3">
        <v>44928.0</v>
      </c>
      <c r="B17" s="2" t="s">
        <v>33</v>
      </c>
      <c r="C17" s="2" t="s">
        <v>35</v>
      </c>
      <c r="D17" s="2" t="s">
        <v>19</v>
      </c>
      <c r="E17" s="2">
        <f t="shared" si="1"/>
        <v>2944</v>
      </c>
      <c r="F17" s="2">
        <f t="shared" si="2"/>
        <v>117.76</v>
      </c>
      <c r="G17" s="2">
        <f t="shared" si="3"/>
        <v>0</v>
      </c>
      <c r="H17" s="2">
        <f t="shared" si="4"/>
        <v>12</v>
      </c>
      <c r="I17" s="2">
        <f t="shared" si="5"/>
        <v>2193</v>
      </c>
    </row>
    <row r="18">
      <c r="A18" s="3">
        <v>44929.0</v>
      </c>
      <c r="B18" s="2" t="s">
        <v>14</v>
      </c>
      <c r="C18" s="2" t="s">
        <v>15</v>
      </c>
      <c r="D18" s="2" t="s">
        <v>32</v>
      </c>
      <c r="E18" s="2">
        <f t="shared" si="1"/>
        <v>9998</v>
      </c>
      <c r="F18" s="2">
        <f t="shared" si="2"/>
        <v>799.84</v>
      </c>
      <c r="G18" s="2">
        <f t="shared" si="3"/>
        <v>975.8048</v>
      </c>
      <c r="H18" s="2">
        <f t="shared" si="4"/>
        <v>128</v>
      </c>
      <c r="I18" s="2">
        <f t="shared" si="5"/>
        <v>206</v>
      </c>
    </row>
    <row r="19">
      <c r="A19" s="3">
        <v>44929.0</v>
      </c>
      <c r="B19" s="2" t="s">
        <v>14</v>
      </c>
      <c r="C19" s="2" t="s">
        <v>17</v>
      </c>
      <c r="D19" s="2" t="s">
        <v>19</v>
      </c>
      <c r="E19" s="2">
        <f t="shared" si="1"/>
        <v>8833</v>
      </c>
      <c r="F19" s="2">
        <f t="shared" si="2"/>
        <v>794.97</v>
      </c>
      <c r="G19" s="2">
        <f t="shared" si="3"/>
        <v>1089.1089</v>
      </c>
      <c r="H19" s="2">
        <f t="shared" si="4"/>
        <v>87</v>
      </c>
      <c r="I19" s="2">
        <f t="shared" si="5"/>
        <v>1452</v>
      </c>
    </row>
    <row r="20">
      <c r="A20" s="3">
        <v>44929.0</v>
      </c>
      <c r="B20" s="2" t="s">
        <v>20</v>
      </c>
      <c r="C20" s="2" t="s">
        <v>21</v>
      </c>
      <c r="D20" s="2" t="s">
        <v>28</v>
      </c>
      <c r="E20" s="2">
        <f t="shared" si="1"/>
        <v>3333</v>
      </c>
      <c r="F20" s="2">
        <f t="shared" si="2"/>
        <v>99.99</v>
      </c>
      <c r="G20" s="2">
        <f t="shared" si="3"/>
        <v>105.9894</v>
      </c>
      <c r="H20" s="2">
        <f t="shared" si="4"/>
        <v>9</v>
      </c>
      <c r="I20" s="2">
        <f t="shared" si="5"/>
        <v>357</v>
      </c>
    </row>
    <row r="21" ht="15.75" customHeight="1">
      <c r="A21" s="3">
        <v>44929.0</v>
      </c>
      <c r="B21" s="2" t="s">
        <v>20</v>
      </c>
      <c r="C21" s="2" t="s">
        <v>23</v>
      </c>
      <c r="D21" s="2" t="s">
        <v>24</v>
      </c>
      <c r="E21" s="2">
        <f t="shared" si="1"/>
        <v>3289</v>
      </c>
      <c r="F21" s="2">
        <f t="shared" si="2"/>
        <v>328.9</v>
      </c>
      <c r="G21" s="2">
        <f t="shared" si="3"/>
        <v>207.207</v>
      </c>
      <c r="H21" s="2">
        <f t="shared" si="4"/>
        <v>36</v>
      </c>
      <c r="I21" s="2">
        <f t="shared" si="5"/>
        <v>4978</v>
      </c>
    </row>
    <row r="22" ht="15.75" customHeight="1">
      <c r="A22" s="3">
        <v>44929.0</v>
      </c>
      <c r="B22" s="2" t="s">
        <v>26</v>
      </c>
      <c r="C22" s="2" t="s">
        <v>27</v>
      </c>
      <c r="D22" s="2" t="s">
        <v>24</v>
      </c>
      <c r="E22" s="2">
        <f t="shared" si="1"/>
        <v>8182</v>
      </c>
      <c r="F22" s="2">
        <f t="shared" si="2"/>
        <v>654.56</v>
      </c>
      <c r="G22" s="2">
        <f t="shared" si="3"/>
        <v>1021.1136</v>
      </c>
      <c r="H22" s="2">
        <f t="shared" si="4"/>
        <v>52</v>
      </c>
      <c r="I22" s="2">
        <f t="shared" si="5"/>
        <v>1123</v>
      </c>
    </row>
    <row r="23" ht="15.75" customHeight="1">
      <c r="A23" s="3">
        <v>44929.0</v>
      </c>
      <c r="B23" s="2" t="s">
        <v>26</v>
      </c>
      <c r="C23" s="2" t="s">
        <v>31</v>
      </c>
      <c r="D23" s="2" t="s">
        <v>24</v>
      </c>
      <c r="E23" s="2">
        <f t="shared" si="1"/>
        <v>9488</v>
      </c>
      <c r="F23" s="2">
        <f t="shared" si="2"/>
        <v>759.04</v>
      </c>
      <c r="G23" s="2">
        <f t="shared" si="3"/>
        <v>1062.656</v>
      </c>
      <c r="H23" s="2">
        <f t="shared" si="4"/>
        <v>68</v>
      </c>
      <c r="I23" s="2">
        <f t="shared" si="5"/>
        <v>3288</v>
      </c>
    </row>
    <row r="24" ht="15.75" customHeight="1">
      <c r="A24" s="3">
        <v>44929.0</v>
      </c>
      <c r="B24" s="2" t="s">
        <v>33</v>
      </c>
      <c r="C24" s="2" t="s">
        <v>34</v>
      </c>
      <c r="D24" s="2" t="s">
        <v>16</v>
      </c>
      <c r="E24" s="2">
        <f t="shared" si="1"/>
        <v>3180</v>
      </c>
      <c r="F24" s="2">
        <f t="shared" si="2"/>
        <v>63.6</v>
      </c>
      <c r="G24" s="2">
        <f t="shared" si="3"/>
        <v>0</v>
      </c>
      <c r="H24" s="2">
        <f t="shared" si="4"/>
        <v>6</v>
      </c>
      <c r="I24" s="2">
        <f t="shared" si="5"/>
        <v>3125</v>
      </c>
    </row>
    <row r="25" ht="15.75" customHeight="1">
      <c r="A25" s="3">
        <v>44929.0</v>
      </c>
      <c r="B25" s="2" t="s">
        <v>33</v>
      </c>
      <c r="C25" s="2" t="s">
        <v>35</v>
      </c>
      <c r="D25" s="2" t="s">
        <v>16</v>
      </c>
      <c r="E25" s="2">
        <f t="shared" si="1"/>
        <v>4653</v>
      </c>
      <c r="F25" s="2">
        <f t="shared" si="2"/>
        <v>139.59</v>
      </c>
      <c r="G25" s="2">
        <f t="shared" si="3"/>
        <v>0</v>
      </c>
      <c r="H25" s="2">
        <f t="shared" si="4"/>
        <v>20</v>
      </c>
      <c r="I25" s="2">
        <f t="shared" si="5"/>
        <v>3851</v>
      </c>
    </row>
    <row r="26" ht="15.75" customHeight="1">
      <c r="A26" s="3">
        <v>44930.0</v>
      </c>
      <c r="B26" s="2" t="s">
        <v>14</v>
      </c>
      <c r="C26" s="2" t="s">
        <v>15</v>
      </c>
      <c r="D26" s="2" t="s">
        <v>16</v>
      </c>
      <c r="E26" s="2">
        <f t="shared" si="1"/>
        <v>5026</v>
      </c>
      <c r="F26" s="2">
        <f t="shared" si="2"/>
        <v>301.56</v>
      </c>
      <c r="G26" s="2">
        <f t="shared" si="3"/>
        <v>569.9484</v>
      </c>
      <c r="H26" s="2">
        <f t="shared" si="4"/>
        <v>33</v>
      </c>
      <c r="I26" s="2">
        <f t="shared" si="5"/>
        <v>4306</v>
      </c>
    </row>
    <row r="27" ht="15.75" customHeight="1">
      <c r="A27" s="3">
        <v>44930.0</v>
      </c>
      <c r="B27" s="2" t="s">
        <v>14</v>
      </c>
      <c r="C27" s="2" t="s">
        <v>17</v>
      </c>
      <c r="D27" s="2" t="s">
        <v>13</v>
      </c>
      <c r="E27" s="2">
        <f t="shared" si="1"/>
        <v>7704</v>
      </c>
      <c r="F27" s="2">
        <f t="shared" si="2"/>
        <v>154.08</v>
      </c>
      <c r="G27" s="2">
        <f t="shared" si="3"/>
        <v>231.12</v>
      </c>
      <c r="H27" s="2">
        <f t="shared" si="4"/>
        <v>23</v>
      </c>
      <c r="I27" s="2">
        <f t="shared" si="5"/>
        <v>3758</v>
      </c>
    </row>
    <row r="28" ht="15.75" customHeight="1">
      <c r="A28" s="3">
        <v>44930.0</v>
      </c>
      <c r="B28" s="2" t="s">
        <v>20</v>
      </c>
      <c r="C28" s="2" t="s">
        <v>21</v>
      </c>
      <c r="D28" s="2" t="s">
        <v>18</v>
      </c>
      <c r="E28" s="2">
        <f t="shared" si="1"/>
        <v>5104</v>
      </c>
      <c r="F28" s="2">
        <f t="shared" si="2"/>
        <v>204.16</v>
      </c>
      <c r="G28" s="2">
        <f t="shared" si="3"/>
        <v>293.9904</v>
      </c>
      <c r="H28" s="2">
        <f t="shared" si="4"/>
        <v>39</v>
      </c>
      <c r="I28" s="2">
        <f t="shared" si="5"/>
        <v>3255</v>
      </c>
    </row>
    <row r="29" ht="15.75" customHeight="1">
      <c r="A29" s="3">
        <v>44930.0</v>
      </c>
      <c r="B29" s="2" t="s">
        <v>20</v>
      </c>
      <c r="C29" s="2" t="s">
        <v>23</v>
      </c>
      <c r="D29" s="2" t="s">
        <v>13</v>
      </c>
      <c r="E29" s="2">
        <f t="shared" si="1"/>
        <v>5475</v>
      </c>
      <c r="F29" s="2">
        <f t="shared" si="2"/>
        <v>383.25</v>
      </c>
      <c r="G29" s="2">
        <f t="shared" si="3"/>
        <v>663.0225</v>
      </c>
      <c r="H29" s="2">
        <f t="shared" si="4"/>
        <v>34</v>
      </c>
      <c r="I29" s="2">
        <f t="shared" si="5"/>
        <v>3054</v>
      </c>
    </row>
    <row r="30" ht="15.75" customHeight="1">
      <c r="A30" s="3">
        <v>44930.0</v>
      </c>
      <c r="B30" s="2" t="s">
        <v>26</v>
      </c>
      <c r="C30" s="2" t="s">
        <v>27</v>
      </c>
      <c r="D30" s="2" t="s">
        <v>24</v>
      </c>
      <c r="E30" s="2">
        <f t="shared" si="1"/>
        <v>8598</v>
      </c>
      <c r="F30" s="2">
        <f t="shared" si="2"/>
        <v>343.92</v>
      </c>
      <c r="G30" s="2">
        <f t="shared" si="3"/>
        <v>687.84</v>
      </c>
      <c r="H30" s="2">
        <f t="shared" si="4"/>
        <v>34</v>
      </c>
      <c r="I30" s="2">
        <f t="shared" si="5"/>
        <v>3171</v>
      </c>
    </row>
    <row r="31" ht="15.75" customHeight="1">
      <c r="A31" s="3">
        <v>44930.0</v>
      </c>
      <c r="B31" s="2" t="s">
        <v>26</v>
      </c>
      <c r="C31" s="2" t="s">
        <v>31</v>
      </c>
      <c r="D31" s="2" t="s">
        <v>30</v>
      </c>
      <c r="E31" s="2">
        <f t="shared" si="1"/>
        <v>10840</v>
      </c>
      <c r="F31" s="2">
        <f t="shared" si="2"/>
        <v>325.2</v>
      </c>
      <c r="G31" s="2">
        <f t="shared" si="3"/>
        <v>321.948</v>
      </c>
      <c r="H31" s="2">
        <f t="shared" si="4"/>
        <v>46</v>
      </c>
      <c r="I31" s="2">
        <f t="shared" si="5"/>
        <v>1620</v>
      </c>
    </row>
    <row r="32" ht="15.75" customHeight="1">
      <c r="A32" s="3">
        <v>44930.0</v>
      </c>
      <c r="B32" s="2" t="s">
        <v>33</v>
      </c>
      <c r="C32" s="2" t="s">
        <v>34</v>
      </c>
      <c r="D32" s="2" t="s">
        <v>30</v>
      </c>
      <c r="E32" s="2">
        <f t="shared" si="1"/>
        <v>2418</v>
      </c>
      <c r="F32" s="2">
        <f t="shared" si="2"/>
        <v>217.62</v>
      </c>
      <c r="G32" s="2">
        <f t="shared" si="3"/>
        <v>0</v>
      </c>
      <c r="H32" s="2">
        <f t="shared" si="4"/>
        <v>20</v>
      </c>
      <c r="I32" s="2">
        <f t="shared" si="5"/>
        <v>2611</v>
      </c>
    </row>
    <row r="33" ht="15.75" customHeight="1">
      <c r="A33" s="3">
        <v>44930.0</v>
      </c>
      <c r="B33" s="2" t="s">
        <v>33</v>
      </c>
      <c r="C33" s="2" t="s">
        <v>35</v>
      </c>
      <c r="D33" s="2" t="s">
        <v>16</v>
      </c>
      <c r="E33" s="2">
        <f t="shared" si="1"/>
        <v>4871</v>
      </c>
      <c r="F33" s="2">
        <f t="shared" si="2"/>
        <v>487.1</v>
      </c>
      <c r="G33" s="2">
        <f t="shared" si="3"/>
        <v>0</v>
      </c>
      <c r="H33" s="2">
        <f t="shared" si="4"/>
        <v>58</v>
      </c>
      <c r="I33" s="2">
        <f t="shared" si="5"/>
        <v>570</v>
      </c>
    </row>
    <row r="34" ht="15.75" customHeight="1">
      <c r="A34" s="3">
        <v>44931.0</v>
      </c>
      <c r="B34" s="2" t="s">
        <v>14</v>
      </c>
      <c r="C34" s="2" t="s">
        <v>15</v>
      </c>
      <c r="D34" s="2" t="s">
        <v>30</v>
      </c>
      <c r="E34" s="2">
        <f t="shared" si="1"/>
        <v>9306</v>
      </c>
      <c r="F34" s="2">
        <f t="shared" si="2"/>
        <v>372.24</v>
      </c>
      <c r="G34" s="2">
        <f t="shared" si="3"/>
        <v>402.0192</v>
      </c>
      <c r="H34" s="2">
        <f t="shared" si="4"/>
        <v>74</v>
      </c>
      <c r="I34" s="2">
        <f t="shared" si="5"/>
        <v>3089</v>
      </c>
    </row>
    <row r="35" ht="15.75" customHeight="1">
      <c r="A35" s="3">
        <v>44931.0</v>
      </c>
      <c r="B35" s="2" t="s">
        <v>14</v>
      </c>
      <c r="C35" s="2" t="s">
        <v>17</v>
      </c>
      <c r="D35" s="2" t="s">
        <v>25</v>
      </c>
      <c r="E35" s="2">
        <f t="shared" si="1"/>
        <v>8384</v>
      </c>
      <c r="F35" s="2">
        <f t="shared" si="2"/>
        <v>251.52</v>
      </c>
      <c r="G35" s="2">
        <f t="shared" si="3"/>
        <v>284.2176</v>
      </c>
      <c r="H35" s="2">
        <f t="shared" si="4"/>
        <v>15</v>
      </c>
      <c r="I35" s="2">
        <f t="shared" si="5"/>
        <v>4936</v>
      </c>
    </row>
    <row r="36" ht="15.75" customHeight="1">
      <c r="A36" s="3">
        <v>44931.0</v>
      </c>
      <c r="B36" s="2" t="s">
        <v>20</v>
      </c>
      <c r="C36" s="2" t="s">
        <v>21</v>
      </c>
      <c r="D36" s="2" t="s">
        <v>16</v>
      </c>
      <c r="E36" s="2">
        <f t="shared" si="1"/>
        <v>5417</v>
      </c>
      <c r="F36" s="2">
        <f t="shared" si="2"/>
        <v>379.19</v>
      </c>
      <c r="G36" s="2">
        <f t="shared" si="3"/>
        <v>621.8716</v>
      </c>
      <c r="H36" s="2">
        <f t="shared" si="4"/>
        <v>30</v>
      </c>
      <c r="I36" s="2">
        <f t="shared" si="5"/>
        <v>2515</v>
      </c>
    </row>
    <row r="37" ht="15.75" customHeight="1">
      <c r="A37" s="3">
        <v>44931.0</v>
      </c>
      <c r="B37" s="2" t="s">
        <v>20</v>
      </c>
      <c r="C37" s="2" t="s">
        <v>23</v>
      </c>
      <c r="D37" s="2" t="s">
        <v>24</v>
      </c>
      <c r="E37" s="2">
        <f t="shared" si="1"/>
        <v>4503</v>
      </c>
      <c r="F37" s="2">
        <f t="shared" si="2"/>
        <v>270.18</v>
      </c>
      <c r="G37" s="2">
        <f t="shared" si="3"/>
        <v>434.9898</v>
      </c>
      <c r="H37" s="2">
        <f t="shared" si="4"/>
        <v>38</v>
      </c>
      <c r="I37" s="2">
        <f t="shared" si="5"/>
        <v>4191</v>
      </c>
    </row>
    <row r="38" ht="15.75" customHeight="1">
      <c r="A38" s="3">
        <v>44931.0</v>
      </c>
      <c r="B38" s="2" t="s">
        <v>26</v>
      </c>
      <c r="C38" s="2" t="s">
        <v>27</v>
      </c>
      <c r="D38" s="2" t="s">
        <v>13</v>
      </c>
      <c r="E38" s="2">
        <f t="shared" si="1"/>
        <v>10725</v>
      </c>
      <c r="F38" s="2">
        <f t="shared" si="2"/>
        <v>429</v>
      </c>
      <c r="G38" s="2">
        <f t="shared" si="3"/>
        <v>780.78</v>
      </c>
      <c r="H38" s="2">
        <f t="shared" si="4"/>
        <v>64</v>
      </c>
      <c r="I38" s="2">
        <f t="shared" si="5"/>
        <v>3949</v>
      </c>
    </row>
    <row r="39" ht="15.75" customHeight="1">
      <c r="A39" s="3">
        <v>44931.0</v>
      </c>
      <c r="B39" s="2" t="s">
        <v>26</v>
      </c>
      <c r="C39" s="2" t="s">
        <v>31</v>
      </c>
      <c r="D39" s="2" t="s">
        <v>24</v>
      </c>
      <c r="E39" s="2">
        <f t="shared" si="1"/>
        <v>12146</v>
      </c>
      <c r="F39" s="2">
        <f t="shared" si="2"/>
        <v>728.76</v>
      </c>
      <c r="G39" s="2">
        <f t="shared" si="3"/>
        <v>604.8708</v>
      </c>
      <c r="H39" s="2">
        <f t="shared" si="4"/>
        <v>95</v>
      </c>
      <c r="I39" s="2">
        <f t="shared" si="5"/>
        <v>3053</v>
      </c>
    </row>
    <row r="40" ht="15.75" customHeight="1">
      <c r="A40" s="3">
        <v>44931.0</v>
      </c>
      <c r="B40" s="2" t="s">
        <v>33</v>
      </c>
      <c r="C40" s="2" t="s">
        <v>34</v>
      </c>
      <c r="D40" s="2" t="s">
        <v>24</v>
      </c>
      <c r="E40" s="2">
        <f t="shared" si="1"/>
        <v>4382</v>
      </c>
      <c r="F40" s="2">
        <f t="shared" si="2"/>
        <v>262.92</v>
      </c>
      <c r="G40" s="2">
        <f t="shared" si="3"/>
        <v>0</v>
      </c>
      <c r="H40" s="2">
        <f t="shared" si="4"/>
        <v>29</v>
      </c>
      <c r="I40" s="2">
        <f t="shared" si="5"/>
        <v>1431</v>
      </c>
    </row>
    <row r="41" ht="15.75" customHeight="1">
      <c r="A41" s="3">
        <v>44931.0</v>
      </c>
      <c r="B41" s="2" t="s">
        <v>33</v>
      </c>
      <c r="C41" s="2" t="s">
        <v>35</v>
      </c>
      <c r="D41" s="2" t="s">
        <v>32</v>
      </c>
      <c r="E41" s="2">
        <f t="shared" si="1"/>
        <v>2594</v>
      </c>
      <c r="F41" s="2">
        <f t="shared" si="2"/>
        <v>155.64</v>
      </c>
      <c r="G41" s="2">
        <f t="shared" si="3"/>
        <v>0</v>
      </c>
      <c r="H41" s="2">
        <f t="shared" si="4"/>
        <v>12</v>
      </c>
      <c r="I41" s="2">
        <f t="shared" si="5"/>
        <v>962</v>
      </c>
    </row>
    <row r="42" ht="15.75" customHeight="1">
      <c r="A42" s="3">
        <v>44932.0</v>
      </c>
      <c r="B42" s="2" t="s">
        <v>14</v>
      </c>
      <c r="C42" s="2" t="s">
        <v>15</v>
      </c>
      <c r="D42" s="2" t="s">
        <v>13</v>
      </c>
      <c r="E42" s="2">
        <f t="shared" si="1"/>
        <v>10929</v>
      </c>
      <c r="F42" s="2">
        <f t="shared" si="2"/>
        <v>983.61</v>
      </c>
      <c r="G42" s="2">
        <f t="shared" si="3"/>
        <v>1485.2511</v>
      </c>
      <c r="H42" s="2">
        <f t="shared" si="4"/>
        <v>128</v>
      </c>
      <c r="I42" s="2">
        <f t="shared" si="5"/>
        <v>2855</v>
      </c>
    </row>
    <row r="43" ht="15.75" customHeight="1">
      <c r="A43" s="3">
        <v>44932.0</v>
      </c>
      <c r="B43" s="2" t="s">
        <v>14</v>
      </c>
      <c r="C43" s="2" t="s">
        <v>17</v>
      </c>
      <c r="D43" s="2" t="s">
        <v>25</v>
      </c>
      <c r="E43" s="2">
        <f t="shared" si="1"/>
        <v>5023</v>
      </c>
      <c r="F43" s="2">
        <f t="shared" si="2"/>
        <v>452.07</v>
      </c>
      <c r="G43" s="2">
        <f t="shared" si="3"/>
        <v>560.5668</v>
      </c>
      <c r="H43" s="2">
        <f t="shared" si="4"/>
        <v>63</v>
      </c>
      <c r="I43" s="2">
        <f t="shared" si="5"/>
        <v>1377</v>
      </c>
    </row>
    <row r="44" ht="15.75" customHeight="1">
      <c r="A44" s="3">
        <v>44932.0</v>
      </c>
      <c r="B44" s="2" t="s">
        <v>20</v>
      </c>
      <c r="C44" s="2" t="s">
        <v>21</v>
      </c>
      <c r="D44" s="2" t="s">
        <v>18</v>
      </c>
      <c r="E44" s="2">
        <f t="shared" si="1"/>
        <v>3419</v>
      </c>
      <c r="F44" s="2">
        <f t="shared" si="2"/>
        <v>273.52</v>
      </c>
      <c r="G44" s="2">
        <f t="shared" si="3"/>
        <v>530.6288</v>
      </c>
      <c r="H44" s="2">
        <f t="shared" si="4"/>
        <v>33</v>
      </c>
      <c r="I44" s="2">
        <f t="shared" si="5"/>
        <v>3814</v>
      </c>
    </row>
    <row r="45" ht="15.75" customHeight="1">
      <c r="A45" s="3">
        <v>44932.0</v>
      </c>
      <c r="B45" s="2" t="s">
        <v>20</v>
      </c>
      <c r="C45" s="2" t="s">
        <v>23</v>
      </c>
      <c r="D45" s="2" t="s">
        <v>30</v>
      </c>
      <c r="E45" s="2">
        <f t="shared" si="1"/>
        <v>3819</v>
      </c>
      <c r="F45" s="2">
        <f t="shared" si="2"/>
        <v>381.9</v>
      </c>
      <c r="G45" s="2">
        <f t="shared" si="3"/>
        <v>301.701</v>
      </c>
      <c r="H45" s="2">
        <f t="shared" si="4"/>
        <v>38</v>
      </c>
      <c r="I45" s="2">
        <f t="shared" si="5"/>
        <v>4015</v>
      </c>
    </row>
    <row r="46" ht="15.75" customHeight="1">
      <c r="A46" s="3">
        <v>44932.0</v>
      </c>
      <c r="B46" s="2" t="s">
        <v>26</v>
      </c>
      <c r="C46" s="2" t="s">
        <v>27</v>
      </c>
      <c r="D46" s="2" t="s">
        <v>25</v>
      </c>
      <c r="E46" s="2">
        <f t="shared" si="1"/>
        <v>12244</v>
      </c>
      <c r="F46" s="2">
        <f t="shared" si="2"/>
        <v>489.76</v>
      </c>
      <c r="G46" s="2">
        <f t="shared" si="3"/>
        <v>553.4288</v>
      </c>
      <c r="H46" s="2">
        <f t="shared" si="4"/>
        <v>73</v>
      </c>
      <c r="I46" s="2">
        <f t="shared" si="5"/>
        <v>3658</v>
      </c>
    </row>
    <row r="47" ht="15.75" customHeight="1">
      <c r="A47" s="3">
        <v>44932.0</v>
      </c>
      <c r="B47" s="2" t="s">
        <v>26</v>
      </c>
      <c r="C47" s="2" t="s">
        <v>31</v>
      </c>
      <c r="D47" s="2" t="s">
        <v>30</v>
      </c>
      <c r="E47" s="2">
        <f t="shared" si="1"/>
        <v>9198</v>
      </c>
      <c r="F47" s="2">
        <f t="shared" si="2"/>
        <v>919.8</v>
      </c>
      <c r="G47" s="2">
        <f t="shared" si="3"/>
        <v>1563.66</v>
      </c>
      <c r="H47" s="2">
        <f t="shared" si="4"/>
        <v>55</v>
      </c>
      <c r="I47" s="2">
        <f t="shared" si="5"/>
        <v>3568</v>
      </c>
    </row>
    <row r="48" ht="15.75" customHeight="1">
      <c r="A48" s="3">
        <v>44932.0</v>
      </c>
      <c r="B48" s="2" t="s">
        <v>33</v>
      </c>
      <c r="C48" s="2" t="s">
        <v>34</v>
      </c>
      <c r="D48" s="2" t="s">
        <v>28</v>
      </c>
      <c r="E48" s="2">
        <f t="shared" si="1"/>
        <v>4295</v>
      </c>
      <c r="F48" s="2">
        <f t="shared" si="2"/>
        <v>257.7</v>
      </c>
      <c r="G48" s="2">
        <f t="shared" si="3"/>
        <v>0</v>
      </c>
      <c r="H48" s="2">
        <f t="shared" si="4"/>
        <v>21</v>
      </c>
      <c r="I48" s="2">
        <f t="shared" si="5"/>
        <v>1755</v>
      </c>
    </row>
    <row r="49" ht="15.75" customHeight="1">
      <c r="A49" s="3">
        <v>44932.0</v>
      </c>
      <c r="B49" s="2" t="s">
        <v>33</v>
      </c>
      <c r="C49" s="2" t="s">
        <v>35</v>
      </c>
      <c r="D49" s="2" t="s">
        <v>13</v>
      </c>
      <c r="E49" s="2">
        <f t="shared" si="1"/>
        <v>4317</v>
      </c>
      <c r="F49" s="2">
        <f t="shared" si="2"/>
        <v>345.36</v>
      </c>
      <c r="G49" s="2">
        <f t="shared" si="3"/>
        <v>0</v>
      </c>
      <c r="H49" s="2">
        <f t="shared" si="4"/>
        <v>62</v>
      </c>
      <c r="I49" s="2">
        <f t="shared" si="5"/>
        <v>4604</v>
      </c>
    </row>
    <row r="50" ht="15.75" customHeight="1">
      <c r="A50" s="3">
        <v>46029.0</v>
      </c>
      <c r="B50" s="2" t="s">
        <v>14</v>
      </c>
      <c r="C50" s="2" t="s">
        <v>15</v>
      </c>
      <c r="D50" s="2" t="s">
        <v>16</v>
      </c>
      <c r="E50" s="2">
        <f t="shared" si="1"/>
        <v>5558</v>
      </c>
      <c r="F50" s="2">
        <f t="shared" si="2"/>
        <v>500.22</v>
      </c>
      <c r="G50" s="2">
        <f t="shared" si="3"/>
        <v>900.396</v>
      </c>
      <c r="H50" s="2">
        <f t="shared" si="4"/>
        <v>40</v>
      </c>
      <c r="I50" s="2">
        <f t="shared" si="5"/>
        <v>4477</v>
      </c>
    </row>
    <row r="51" ht="15.75" customHeight="1">
      <c r="A51" s="3">
        <v>46029.0</v>
      </c>
      <c r="B51" s="2" t="s">
        <v>14</v>
      </c>
      <c r="C51" s="2" t="s">
        <v>17</v>
      </c>
      <c r="D51" s="2" t="s">
        <v>13</v>
      </c>
      <c r="E51" s="2">
        <f t="shared" si="1"/>
        <v>10349</v>
      </c>
      <c r="F51" s="2">
        <f t="shared" si="2"/>
        <v>206.98</v>
      </c>
      <c r="G51" s="2">
        <f t="shared" si="3"/>
        <v>140.7464</v>
      </c>
      <c r="H51" s="2">
        <f t="shared" si="4"/>
        <v>12</v>
      </c>
      <c r="I51" s="2">
        <f t="shared" si="5"/>
        <v>3142</v>
      </c>
    </row>
    <row r="52" ht="15.75" customHeight="1">
      <c r="A52" s="3">
        <v>46029.0</v>
      </c>
      <c r="B52" s="2" t="s">
        <v>20</v>
      </c>
      <c r="C52" s="2" t="s">
        <v>21</v>
      </c>
      <c r="D52" s="2" t="s">
        <v>13</v>
      </c>
      <c r="E52" s="2">
        <f t="shared" si="1"/>
        <v>2742</v>
      </c>
      <c r="F52" s="2">
        <f t="shared" si="2"/>
        <v>82.26</v>
      </c>
      <c r="G52" s="2">
        <f t="shared" si="3"/>
        <v>106.1154</v>
      </c>
      <c r="H52" s="2">
        <f t="shared" si="4"/>
        <v>6</v>
      </c>
      <c r="I52" s="2">
        <f t="shared" si="5"/>
        <v>4254</v>
      </c>
    </row>
    <row r="53" ht="15.75" customHeight="1">
      <c r="A53" s="3">
        <v>46029.0</v>
      </c>
      <c r="B53" s="2" t="s">
        <v>20</v>
      </c>
      <c r="C53" s="2" t="s">
        <v>23</v>
      </c>
      <c r="D53" s="2" t="s">
        <v>25</v>
      </c>
      <c r="E53" s="2">
        <f t="shared" si="1"/>
        <v>2745</v>
      </c>
      <c r="F53" s="2">
        <f t="shared" si="2"/>
        <v>109.8</v>
      </c>
      <c r="G53" s="2">
        <f t="shared" si="3"/>
        <v>210.816</v>
      </c>
      <c r="H53" s="2">
        <f t="shared" si="4"/>
        <v>21</v>
      </c>
      <c r="I53" s="2">
        <f t="shared" si="5"/>
        <v>607</v>
      </c>
    </row>
    <row r="54" ht="15.75" customHeight="1">
      <c r="A54" s="3">
        <v>46029.0</v>
      </c>
      <c r="B54" s="2" t="s">
        <v>26</v>
      </c>
      <c r="C54" s="2" t="s">
        <v>27</v>
      </c>
      <c r="D54" s="2" t="s">
        <v>19</v>
      </c>
      <c r="E54" s="2">
        <f t="shared" si="1"/>
        <v>9591</v>
      </c>
      <c r="F54" s="2">
        <f t="shared" si="2"/>
        <v>767.28</v>
      </c>
      <c r="G54" s="2">
        <f t="shared" si="3"/>
        <v>590.8056</v>
      </c>
      <c r="H54" s="2">
        <f t="shared" si="4"/>
        <v>54</v>
      </c>
      <c r="I54" s="2">
        <f t="shared" si="5"/>
        <v>1227</v>
      </c>
    </row>
    <row r="55" ht="15.75" customHeight="1">
      <c r="A55" s="3">
        <v>46029.0</v>
      </c>
      <c r="B55" s="2" t="s">
        <v>26</v>
      </c>
      <c r="C55" s="2" t="s">
        <v>31</v>
      </c>
      <c r="D55" s="2" t="s">
        <v>16</v>
      </c>
      <c r="E55" s="2">
        <f t="shared" si="1"/>
        <v>8121</v>
      </c>
      <c r="F55" s="2">
        <f t="shared" si="2"/>
        <v>568.47</v>
      </c>
      <c r="G55" s="2">
        <f t="shared" si="3"/>
        <v>937.9755</v>
      </c>
      <c r="H55" s="2">
        <f t="shared" si="4"/>
        <v>85</v>
      </c>
      <c r="I55" s="2">
        <f t="shared" si="5"/>
        <v>3508</v>
      </c>
    </row>
    <row r="56" ht="15.75" customHeight="1">
      <c r="A56" s="3">
        <v>46029.0</v>
      </c>
      <c r="B56" s="2" t="s">
        <v>33</v>
      </c>
      <c r="C56" s="2" t="s">
        <v>34</v>
      </c>
      <c r="D56" s="2" t="s">
        <v>13</v>
      </c>
      <c r="E56" s="2">
        <f t="shared" si="1"/>
        <v>2077</v>
      </c>
      <c r="F56" s="2">
        <f t="shared" si="2"/>
        <v>166.16</v>
      </c>
      <c r="G56" s="2">
        <f t="shared" si="3"/>
        <v>0</v>
      </c>
      <c r="H56" s="2">
        <f t="shared" si="4"/>
        <v>30</v>
      </c>
      <c r="I56" s="2">
        <f t="shared" si="5"/>
        <v>4702</v>
      </c>
    </row>
    <row r="57" ht="15.75" customHeight="1">
      <c r="A57" s="3">
        <v>46029.0</v>
      </c>
      <c r="B57" s="2" t="s">
        <v>33</v>
      </c>
      <c r="C57" s="2" t="s">
        <v>35</v>
      </c>
      <c r="D57" s="2" t="s">
        <v>19</v>
      </c>
      <c r="E57" s="2">
        <f t="shared" si="1"/>
        <v>4083</v>
      </c>
      <c r="F57" s="2">
        <f t="shared" si="2"/>
        <v>163.32</v>
      </c>
      <c r="G57" s="2">
        <f t="shared" si="3"/>
        <v>0</v>
      </c>
      <c r="H57" s="2">
        <f t="shared" si="4"/>
        <v>15</v>
      </c>
      <c r="I57" s="2">
        <f t="shared" si="5"/>
        <v>1368</v>
      </c>
    </row>
    <row r="58" ht="15.75" customHeight="1">
      <c r="A58" s="3">
        <v>44934.0</v>
      </c>
      <c r="B58" s="2" t="s">
        <v>14</v>
      </c>
      <c r="C58" s="2" t="s">
        <v>15</v>
      </c>
      <c r="D58" s="2" t="s">
        <v>19</v>
      </c>
      <c r="E58" s="2">
        <f t="shared" si="1"/>
        <v>6509</v>
      </c>
      <c r="F58" s="2">
        <f t="shared" si="2"/>
        <v>455.63</v>
      </c>
      <c r="G58" s="2">
        <f t="shared" si="3"/>
        <v>186.8083</v>
      </c>
      <c r="H58" s="2">
        <f t="shared" si="4"/>
        <v>73</v>
      </c>
      <c r="I58" s="2">
        <f t="shared" si="5"/>
        <v>2990</v>
      </c>
    </row>
    <row r="59" ht="15.75" customHeight="1">
      <c r="A59" s="3">
        <v>44934.0</v>
      </c>
      <c r="B59" s="2" t="s">
        <v>14</v>
      </c>
      <c r="C59" s="2" t="s">
        <v>17</v>
      </c>
      <c r="D59" s="2" t="s">
        <v>22</v>
      </c>
      <c r="E59" s="2">
        <f t="shared" si="1"/>
        <v>7996</v>
      </c>
      <c r="F59" s="2">
        <f t="shared" si="2"/>
        <v>319.84</v>
      </c>
      <c r="G59" s="2">
        <f t="shared" si="3"/>
        <v>310.2448</v>
      </c>
      <c r="H59" s="2">
        <f t="shared" si="4"/>
        <v>64</v>
      </c>
      <c r="I59" s="2">
        <f t="shared" si="5"/>
        <v>3401</v>
      </c>
    </row>
    <row r="60" ht="15.75" customHeight="1">
      <c r="A60" s="3">
        <v>44934.0</v>
      </c>
      <c r="B60" s="2" t="s">
        <v>20</v>
      </c>
      <c r="C60" s="2" t="s">
        <v>21</v>
      </c>
      <c r="D60" s="2" t="s">
        <v>13</v>
      </c>
      <c r="E60" s="2">
        <f t="shared" si="1"/>
        <v>2458</v>
      </c>
      <c r="F60" s="2">
        <f t="shared" si="2"/>
        <v>49.16</v>
      </c>
      <c r="G60" s="2">
        <f t="shared" si="3"/>
        <v>37.8532</v>
      </c>
      <c r="H60" s="2">
        <f t="shared" si="4"/>
        <v>3</v>
      </c>
      <c r="I60" s="2">
        <f t="shared" si="5"/>
        <v>943</v>
      </c>
    </row>
    <row r="61" ht="15.75" customHeight="1">
      <c r="A61" s="3">
        <v>44934.0</v>
      </c>
      <c r="B61" s="2" t="s">
        <v>20</v>
      </c>
      <c r="C61" s="2" t="s">
        <v>23</v>
      </c>
      <c r="D61" s="2" t="s">
        <v>19</v>
      </c>
      <c r="E61" s="2">
        <f t="shared" si="1"/>
        <v>2780</v>
      </c>
      <c r="F61" s="2">
        <f t="shared" si="2"/>
        <v>194.6</v>
      </c>
      <c r="G61" s="2">
        <f t="shared" si="3"/>
        <v>332.766</v>
      </c>
      <c r="H61" s="2">
        <f t="shared" si="4"/>
        <v>33</v>
      </c>
      <c r="I61" s="2">
        <f t="shared" si="5"/>
        <v>2589</v>
      </c>
    </row>
    <row r="62" ht="15.75" customHeight="1">
      <c r="A62" s="3">
        <v>44934.0</v>
      </c>
      <c r="B62" s="2" t="s">
        <v>26</v>
      </c>
      <c r="C62" s="2" t="s">
        <v>27</v>
      </c>
      <c r="D62" s="2" t="s">
        <v>30</v>
      </c>
      <c r="E62" s="2">
        <f t="shared" si="1"/>
        <v>12497</v>
      </c>
      <c r="F62" s="2">
        <f t="shared" si="2"/>
        <v>1249.7</v>
      </c>
      <c r="G62" s="2">
        <f t="shared" si="3"/>
        <v>2374.43</v>
      </c>
      <c r="H62" s="2">
        <f t="shared" si="4"/>
        <v>62</v>
      </c>
      <c r="I62" s="2">
        <f t="shared" si="5"/>
        <v>2131</v>
      </c>
    </row>
    <row r="63" ht="15.75" customHeight="1">
      <c r="A63" s="3">
        <v>44934.0</v>
      </c>
      <c r="B63" s="2" t="s">
        <v>26</v>
      </c>
      <c r="C63" s="2" t="s">
        <v>31</v>
      </c>
      <c r="D63" s="2" t="s">
        <v>24</v>
      </c>
      <c r="E63" s="2">
        <f t="shared" si="1"/>
        <v>11871</v>
      </c>
      <c r="F63" s="2">
        <f t="shared" si="2"/>
        <v>593.55</v>
      </c>
      <c r="G63" s="2">
        <f t="shared" si="3"/>
        <v>332.388</v>
      </c>
      <c r="H63" s="2">
        <f t="shared" si="4"/>
        <v>83</v>
      </c>
      <c r="I63" s="2">
        <f t="shared" si="5"/>
        <v>3717</v>
      </c>
    </row>
    <row r="64" ht="15.75" customHeight="1">
      <c r="A64" s="3">
        <v>44934.0</v>
      </c>
      <c r="B64" s="2" t="s">
        <v>33</v>
      </c>
      <c r="C64" s="2" t="s">
        <v>34</v>
      </c>
      <c r="D64" s="2" t="s">
        <v>18</v>
      </c>
      <c r="E64" s="2">
        <f t="shared" si="1"/>
        <v>4766</v>
      </c>
      <c r="F64" s="2">
        <f t="shared" si="2"/>
        <v>285.96</v>
      </c>
      <c r="G64" s="2">
        <f t="shared" si="3"/>
        <v>0</v>
      </c>
      <c r="H64" s="2">
        <f t="shared" si="4"/>
        <v>17</v>
      </c>
      <c r="I64" s="2">
        <f t="shared" si="5"/>
        <v>765</v>
      </c>
    </row>
    <row r="65" ht="15.75" customHeight="1">
      <c r="A65" s="3">
        <v>44934.0</v>
      </c>
      <c r="B65" s="2" t="s">
        <v>33</v>
      </c>
      <c r="C65" s="2" t="s">
        <v>35</v>
      </c>
      <c r="D65" s="2" t="s">
        <v>24</v>
      </c>
      <c r="E65" s="2">
        <f t="shared" si="1"/>
        <v>3920</v>
      </c>
      <c r="F65" s="2">
        <f t="shared" si="2"/>
        <v>196</v>
      </c>
      <c r="G65" s="2">
        <f t="shared" si="3"/>
        <v>0</v>
      </c>
      <c r="H65" s="2">
        <f t="shared" si="4"/>
        <v>31</v>
      </c>
      <c r="I65" s="2">
        <f t="shared" si="5"/>
        <v>1828</v>
      </c>
    </row>
    <row r="66" ht="15.75" customHeight="1">
      <c r="A66" s="3">
        <v>44935.0</v>
      </c>
      <c r="B66" s="2" t="s">
        <v>14</v>
      </c>
      <c r="C66" s="2" t="s">
        <v>15</v>
      </c>
      <c r="D66" s="2" t="s">
        <v>28</v>
      </c>
      <c r="E66" s="2">
        <f t="shared" si="1"/>
        <v>7525</v>
      </c>
      <c r="F66" s="2">
        <f t="shared" si="2"/>
        <v>677.25</v>
      </c>
      <c r="G66" s="2">
        <f t="shared" si="3"/>
        <v>826.245</v>
      </c>
      <c r="H66" s="2">
        <f t="shared" si="4"/>
        <v>41</v>
      </c>
      <c r="I66" s="2">
        <f t="shared" si="5"/>
        <v>3604</v>
      </c>
    </row>
    <row r="67" ht="15.75" customHeight="1">
      <c r="A67" s="3">
        <v>44935.0</v>
      </c>
      <c r="B67" s="2" t="s">
        <v>14</v>
      </c>
      <c r="C67" s="2" t="s">
        <v>17</v>
      </c>
      <c r="D67" s="2" t="s">
        <v>22</v>
      </c>
      <c r="E67" s="2">
        <f t="shared" si="1"/>
        <v>8437</v>
      </c>
      <c r="F67" s="2">
        <f t="shared" si="2"/>
        <v>253.11</v>
      </c>
      <c r="G67" s="2">
        <f t="shared" si="3"/>
        <v>372.0717</v>
      </c>
      <c r="H67" s="2">
        <f t="shared" si="4"/>
        <v>25</v>
      </c>
      <c r="I67" s="2">
        <f t="shared" si="5"/>
        <v>218</v>
      </c>
    </row>
    <row r="68" ht="15.75" customHeight="1">
      <c r="A68" s="3">
        <v>44935.0</v>
      </c>
      <c r="B68" s="2" t="s">
        <v>20</v>
      </c>
      <c r="C68" s="2" t="s">
        <v>21</v>
      </c>
      <c r="D68" s="2" t="s">
        <v>18</v>
      </c>
      <c r="E68" s="2">
        <f t="shared" si="1"/>
        <v>3818</v>
      </c>
      <c r="F68" s="2">
        <f t="shared" si="2"/>
        <v>381.8</v>
      </c>
      <c r="G68" s="2">
        <f t="shared" si="3"/>
        <v>568.882</v>
      </c>
      <c r="H68" s="2">
        <f t="shared" si="4"/>
        <v>34</v>
      </c>
      <c r="I68" s="2">
        <f t="shared" si="5"/>
        <v>691</v>
      </c>
    </row>
    <row r="69" ht="15.75" customHeight="1">
      <c r="A69" s="3">
        <v>44935.0</v>
      </c>
      <c r="B69" s="2" t="s">
        <v>20</v>
      </c>
      <c r="C69" s="2" t="s">
        <v>23</v>
      </c>
      <c r="D69" s="2" t="s">
        <v>24</v>
      </c>
      <c r="E69" s="2">
        <f t="shared" si="1"/>
        <v>5177</v>
      </c>
      <c r="F69" s="2">
        <f t="shared" si="2"/>
        <v>414.16</v>
      </c>
      <c r="G69" s="2">
        <f t="shared" si="3"/>
        <v>451.4344</v>
      </c>
      <c r="H69" s="2">
        <f t="shared" si="4"/>
        <v>83</v>
      </c>
      <c r="I69" s="2">
        <f t="shared" si="5"/>
        <v>3681</v>
      </c>
    </row>
    <row r="70" ht="15.75" customHeight="1">
      <c r="A70" s="3">
        <v>44935.0</v>
      </c>
      <c r="B70" s="2" t="s">
        <v>26</v>
      </c>
      <c r="C70" s="2" t="s">
        <v>27</v>
      </c>
      <c r="D70" s="2" t="s">
        <v>24</v>
      </c>
      <c r="E70" s="2">
        <f t="shared" si="1"/>
        <v>8055</v>
      </c>
      <c r="F70" s="2">
        <f t="shared" si="2"/>
        <v>322.2</v>
      </c>
      <c r="G70" s="2">
        <f t="shared" si="3"/>
        <v>509.076</v>
      </c>
      <c r="H70" s="2">
        <f t="shared" si="4"/>
        <v>42</v>
      </c>
      <c r="I70" s="2">
        <f t="shared" si="5"/>
        <v>1064</v>
      </c>
    </row>
    <row r="71" ht="15.75" customHeight="1">
      <c r="A71" s="3">
        <v>44935.0</v>
      </c>
      <c r="B71" s="2" t="s">
        <v>26</v>
      </c>
      <c r="C71" s="2" t="s">
        <v>31</v>
      </c>
      <c r="D71" s="2" t="s">
        <v>18</v>
      </c>
      <c r="E71" s="2">
        <f t="shared" si="1"/>
        <v>13822</v>
      </c>
      <c r="F71" s="2">
        <f t="shared" si="2"/>
        <v>552.88</v>
      </c>
      <c r="G71" s="2">
        <f t="shared" si="3"/>
        <v>663.456</v>
      </c>
      <c r="H71" s="2">
        <f t="shared" si="4"/>
        <v>111</v>
      </c>
      <c r="I71" s="2">
        <f t="shared" si="5"/>
        <v>1813</v>
      </c>
    </row>
    <row r="72" ht="15.75" customHeight="1">
      <c r="A72" s="3">
        <v>44935.0</v>
      </c>
      <c r="B72" s="2" t="s">
        <v>33</v>
      </c>
      <c r="C72" s="2" t="s">
        <v>34</v>
      </c>
      <c r="D72" s="2" t="s">
        <v>19</v>
      </c>
      <c r="E72" s="2">
        <f t="shared" si="1"/>
        <v>4536</v>
      </c>
      <c r="F72" s="2">
        <f t="shared" si="2"/>
        <v>272.16</v>
      </c>
      <c r="G72" s="2">
        <f t="shared" si="3"/>
        <v>0</v>
      </c>
      <c r="H72" s="2">
        <f t="shared" si="4"/>
        <v>14</v>
      </c>
      <c r="I72" s="2">
        <f t="shared" si="5"/>
        <v>2039</v>
      </c>
    </row>
    <row r="73" ht="15.75" customHeight="1">
      <c r="A73" s="3">
        <v>44935.0</v>
      </c>
      <c r="B73" s="2" t="s">
        <v>33</v>
      </c>
      <c r="C73" s="2" t="s">
        <v>35</v>
      </c>
      <c r="D73" s="2" t="s">
        <v>24</v>
      </c>
      <c r="E73" s="2">
        <f t="shared" si="1"/>
        <v>2683</v>
      </c>
      <c r="F73" s="2">
        <f t="shared" si="2"/>
        <v>187.81</v>
      </c>
      <c r="G73" s="2">
        <f t="shared" si="3"/>
        <v>0</v>
      </c>
      <c r="H73" s="2">
        <f t="shared" si="4"/>
        <v>28</v>
      </c>
      <c r="I73" s="2">
        <f t="shared" si="5"/>
        <v>1679</v>
      </c>
    </row>
    <row r="74" ht="15.75" customHeight="1">
      <c r="A74" s="3">
        <v>44936.0</v>
      </c>
      <c r="B74" s="2" t="s">
        <v>14</v>
      </c>
      <c r="C74" s="2" t="s">
        <v>15</v>
      </c>
      <c r="D74" s="2" t="s">
        <v>16</v>
      </c>
      <c r="E74" s="2">
        <f t="shared" si="1"/>
        <v>8699</v>
      </c>
      <c r="F74" s="2">
        <f t="shared" si="2"/>
        <v>869.9</v>
      </c>
      <c r="G74" s="2">
        <f t="shared" si="3"/>
        <v>1174.365</v>
      </c>
      <c r="H74" s="2">
        <f t="shared" si="4"/>
        <v>52</v>
      </c>
      <c r="I74" s="2">
        <f t="shared" si="5"/>
        <v>717</v>
      </c>
    </row>
    <row r="75" ht="15.75" customHeight="1">
      <c r="A75" s="3">
        <v>44936.0</v>
      </c>
      <c r="B75" s="2" t="s">
        <v>14</v>
      </c>
      <c r="C75" s="2" t="s">
        <v>17</v>
      </c>
      <c r="D75" s="2" t="s">
        <v>28</v>
      </c>
      <c r="E75" s="2">
        <f t="shared" si="1"/>
        <v>10867</v>
      </c>
      <c r="F75" s="2">
        <f t="shared" si="2"/>
        <v>217.34</v>
      </c>
      <c r="G75" s="2">
        <f t="shared" si="3"/>
        <v>260.808</v>
      </c>
      <c r="H75" s="2">
        <f t="shared" si="4"/>
        <v>24</v>
      </c>
      <c r="I75" s="2">
        <f t="shared" si="5"/>
        <v>3292</v>
      </c>
    </row>
    <row r="76" ht="15.75" customHeight="1">
      <c r="A76" s="3">
        <v>44936.0</v>
      </c>
      <c r="B76" s="2" t="s">
        <v>20</v>
      </c>
      <c r="C76" s="2" t="s">
        <v>21</v>
      </c>
      <c r="D76" s="2" t="s">
        <v>13</v>
      </c>
      <c r="E76" s="2">
        <f t="shared" si="1"/>
        <v>4650</v>
      </c>
      <c r="F76" s="2">
        <f t="shared" si="2"/>
        <v>418.5</v>
      </c>
      <c r="G76" s="2">
        <f t="shared" si="3"/>
        <v>221.805</v>
      </c>
      <c r="H76" s="2">
        <f t="shared" si="4"/>
        <v>33</v>
      </c>
      <c r="I76" s="2">
        <f t="shared" si="5"/>
        <v>4654</v>
      </c>
    </row>
    <row r="77" ht="15.75" customHeight="1">
      <c r="A77" s="3">
        <v>44936.0</v>
      </c>
      <c r="B77" s="2" t="s">
        <v>20</v>
      </c>
      <c r="C77" s="2" t="s">
        <v>23</v>
      </c>
      <c r="D77" s="2" t="s">
        <v>13</v>
      </c>
      <c r="E77" s="2">
        <f t="shared" si="1"/>
        <v>4298</v>
      </c>
      <c r="F77" s="2">
        <f t="shared" si="2"/>
        <v>85.96</v>
      </c>
      <c r="G77" s="2">
        <f t="shared" si="3"/>
        <v>90.258</v>
      </c>
      <c r="H77" s="2">
        <f t="shared" si="4"/>
        <v>17</v>
      </c>
      <c r="I77" s="2">
        <f t="shared" si="5"/>
        <v>3677</v>
      </c>
    </row>
    <row r="78" ht="15.75" customHeight="1">
      <c r="A78" s="3">
        <v>44936.0</v>
      </c>
      <c r="B78" s="2" t="s">
        <v>26</v>
      </c>
      <c r="C78" s="2" t="s">
        <v>27</v>
      </c>
      <c r="D78" s="2" t="s">
        <v>22</v>
      </c>
      <c r="E78" s="2">
        <f t="shared" si="1"/>
        <v>11055</v>
      </c>
      <c r="F78" s="2">
        <f t="shared" si="2"/>
        <v>663.3</v>
      </c>
      <c r="G78" s="2">
        <f t="shared" si="3"/>
        <v>789.327</v>
      </c>
      <c r="H78" s="2">
        <f t="shared" si="4"/>
        <v>126</v>
      </c>
      <c r="I78" s="2">
        <f t="shared" si="5"/>
        <v>4277</v>
      </c>
    </row>
    <row r="79" ht="15.75" customHeight="1">
      <c r="A79" s="3">
        <v>44936.0</v>
      </c>
      <c r="B79" s="2" t="s">
        <v>26</v>
      </c>
      <c r="C79" s="2" t="s">
        <v>31</v>
      </c>
      <c r="D79" s="2" t="s">
        <v>19</v>
      </c>
      <c r="E79" s="2">
        <f t="shared" si="1"/>
        <v>13808</v>
      </c>
      <c r="F79" s="2">
        <f t="shared" si="2"/>
        <v>414.24</v>
      </c>
      <c r="G79" s="2">
        <f t="shared" si="3"/>
        <v>679.3536</v>
      </c>
      <c r="H79" s="2">
        <f t="shared" si="4"/>
        <v>25</v>
      </c>
      <c r="I79" s="2">
        <f t="shared" si="5"/>
        <v>227</v>
      </c>
    </row>
    <row r="80" ht="15.75" customHeight="1">
      <c r="A80" s="3">
        <v>44936.0</v>
      </c>
      <c r="B80" s="2" t="s">
        <v>33</v>
      </c>
      <c r="C80" s="2" t="s">
        <v>34</v>
      </c>
      <c r="D80" s="2" t="s">
        <v>25</v>
      </c>
      <c r="E80" s="2">
        <f t="shared" si="1"/>
        <v>4704</v>
      </c>
      <c r="F80" s="2">
        <f t="shared" si="2"/>
        <v>282.24</v>
      </c>
      <c r="G80" s="2">
        <f t="shared" si="3"/>
        <v>0</v>
      </c>
      <c r="H80" s="2">
        <f t="shared" si="4"/>
        <v>31</v>
      </c>
      <c r="I80" s="2">
        <f t="shared" si="5"/>
        <v>2458</v>
      </c>
    </row>
    <row r="81" ht="15.75" customHeight="1">
      <c r="A81" s="3">
        <v>44936.0</v>
      </c>
      <c r="B81" s="2" t="s">
        <v>33</v>
      </c>
      <c r="C81" s="2" t="s">
        <v>35</v>
      </c>
      <c r="D81" s="2" t="s">
        <v>13</v>
      </c>
      <c r="E81" s="2">
        <f t="shared" si="1"/>
        <v>2312</v>
      </c>
      <c r="F81" s="2">
        <f t="shared" si="2"/>
        <v>231.2</v>
      </c>
      <c r="G81" s="2">
        <f t="shared" si="3"/>
        <v>0</v>
      </c>
      <c r="H81" s="2">
        <f t="shared" si="4"/>
        <v>28</v>
      </c>
      <c r="I81" s="2">
        <f t="shared" si="5"/>
        <v>4841</v>
      </c>
    </row>
    <row r="82" ht="15.75" customHeight="1">
      <c r="A82" s="3">
        <v>44937.0</v>
      </c>
      <c r="B82" s="2" t="s">
        <v>14</v>
      </c>
      <c r="C82" s="2" t="s">
        <v>15</v>
      </c>
      <c r="D82" s="2" t="s">
        <v>32</v>
      </c>
      <c r="E82" s="2">
        <f t="shared" si="1"/>
        <v>7516</v>
      </c>
      <c r="F82" s="2">
        <f t="shared" si="2"/>
        <v>150.32</v>
      </c>
      <c r="G82" s="2">
        <f t="shared" si="3"/>
        <v>172.868</v>
      </c>
      <c r="H82" s="2">
        <f t="shared" si="4"/>
        <v>17</v>
      </c>
      <c r="I82" s="2">
        <f t="shared" si="5"/>
        <v>4950</v>
      </c>
    </row>
    <row r="83" ht="15.75" customHeight="1">
      <c r="A83" s="3">
        <v>44937.0</v>
      </c>
      <c r="B83" s="2" t="s">
        <v>14</v>
      </c>
      <c r="C83" s="2" t="s">
        <v>17</v>
      </c>
      <c r="D83" s="2" t="s">
        <v>24</v>
      </c>
      <c r="E83" s="2">
        <f t="shared" si="1"/>
        <v>10960</v>
      </c>
      <c r="F83" s="2">
        <f t="shared" si="2"/>
        <v>986.4</v>
      </c>
      <c r="G83" s="2">
        <f t="shared" si="3"/>
        <v>1124.496</v>
      </c>
      <c r="H83" s="2">
        <f t="shared" si="4"/>
        <v>138</v>
      </c>
      <c r="I83" s="2">
        <f t="shared" si="5"/>
        <v>3647</v>
      </c>
    </row>
    <row r="84" ht="15.75" customHeight="1">
      <c r="A84" s="3">
        <v>44937.0</v>
      </c>
      <c r="B84" s="2" t="s">
        <v>20</v>
      </c>
      <c r="C84" s="2" t="s">
        <v>21</v>
      </c>
      <c r="D84" s="2" t="s">
        <v>32</v>
      </c>
      <c r="E84" s="2">
        <f t="shared" si="1"/>
        <v>2320</v>
      </c>
      <c r="F84" s="2">
        <f t="shared" si="2"/>
        <v>185.6</v>
      </c>
      <c r="G84" s="2">
        <f t="shared" si="3"/>
        <v>76.096</v>
      </c>
      <c r="H84" s="2">
        <f t="shared" si="4"/>
        <v>13</v>
      </c>
      <c r="I84" s="2">
        <f t="shared" si="5"/>
        <v>1801</v>
      </c>
    </row>
    <row r="85" ht="15.75" customHeight="1">
      <c r="A85" s="3">
        <v>44937.0</v>
      </c>
      <c r="B85" s="2" t="s">
        <v>20</v>
      </c>
      <c r="C85" s="2" t="s">
        <v>23</v>
      </c>
      <c r="D85" s="2" t="s">
        <v>19</v>
      </c>
      <c r="E85" s="2">
        <f t="shared" si="1"/>
        <v>2290</v>
      </c>
      <c r="F85" s="2">
        <f t="shared" si="2"/>
        <v>229</v>
      </c>
      <c r="G85" s="2">
        <f t="shared" si="3"/>
        <v>217.55</v>
      </c>
      <c r="H85" s="2">
        <f t="shared" si="4"/>
        <v>44</v>
      </c>
      <c r="I85" s="2">
        <f t="shared" si="5"/>
        <v>218</v>
      </c>
    </row>
    <row r="86" ht="15.75" customHeight="1">
      <c r="A86" s="3">
        <v>44937.0</v>
      </c>
      <c r="B86" s="2" t="s">
        <v>26</v>
      </c>
      <c r="C86" s="2" t="s">
        <v>27</v>
      </c>
      <c r="D86" s="2" t="s">
        <v>18</v>
      </c>
      <c r="E86" s="2">
        <f t="shared" si="1"/>
        <v>10080</v>
      </c>
      <c r="F86" s="2">
        <f t="shared" si="2"/>
        <v>302.4</v>
      </c>
      <c r="G86" s="2">
        <f t="shared" si="3"/>
        <v>544.32</v>
      </c>
      <c r="H86" s="2">
        <f t="shared" si="4"/>
        <v>33</v>
      </c>
      <c r="I86" s="2">
        <f t="shared" si="5"/>
        <v>781</v>
      </c>
    </row>
    <row r="87" ht="15.75" customHeight="1">
      <c r="A87" s="3">
        <v>44937.0</v>
      </c>
      <c r="B87" s="2" t="s">
        <v>26</v>
      </c>
      <c r="C87" s="2" t="s">
        <v>31</v>
      </c>
      <c r="D87" s="2" t="s">
        <v>32</v>
      </c>
      <c r="E87" s="2">
        <f t="shared" si="1"/>
        <v>10684</v>
      </c>
      <c r="F87" s="2">
        <f t="shared" si="2"/>
        <v>961.56</v>
      </c>
      <c r="G87" s="2">
        <f t="shared" si="3"/>
        <v>1740.4236</v>
      </c>
      <c r="H87" s="2">
        <f t="shared" si="4"/>
        <v>135</v>
      </c>
      <c r="I87" s="2">
        <f t="shared" si="5"/>
        <v>4616</v>
      </c>
    </row>
    <row r="88" ht="15.75" customHeight="1">
      <c r="A88" s="3">
        <v>44937.0</v>
      </c>
      <c r="B88" s="2" t="s">
        <v>33</v>
      </c>
      <c r="C88" s="2" t="s">
        <v>34</v>
      </c>
      <c r="D88" s="2" t="s">
        <v>18</v>
      </c>
      <c r="E88" s="2">
        <f t="shared" si="1"/>
        <v>3118</v>
      </c>
      <c r="F88" s="2">
        <f t="shared" si="2"/>
        <v>187.08</v>
      </c>
      <c r="G88" s="2">
        <f t="shared" si="3"/>
        <v>0</v>
      </c>
      <c r="H88" s="2">
        <f t="shared" si="4"/>
        <v>19</v>
      </c>
      <c r="I88" s="2">
        <f t="shared" si="5"/>
        <v>3453</v>
      </c>
    </row>
    <row r="89" ht="15.75" customHeight="1">
      <c r="A89" s="3">
        <v>44937.0</v>
      </c>
      <c r="B89" s="2" t="s">
        <v>33</v>
      </c>
      <c r="C89" s="2" t="s">
        <v>35</v>
      </c>
      <c r="D89" s="2" t="s">
        <v>28</v>
      </c>
      <c r="E89" s="2">
        <f t="shared" si="1"/>
        <v>5534</v>
      </c>
      <c r="F89" s="2">
        <f t="shared" si="2"/>
        <v>110.68</v>
      </c>
      <c r="G89" s="2">
        <f t="shared" si="3"/>
        <v>0</v>
      </c>
      <c r="H89" s="2">
        <f t="shared" si="4"/>
        <v>18</v>
      </c>
      <c r="I89" s="2">
        <f t="shared" si="5"/>
        <v>816</v>
      </c>
    </row>
    <row r="90" ht="15.75" customHeight="1">
      <c r="A90" s="3">
        <v>44938.0</v>
      </c>
      <c r="B90" s="2" t="s">
        <v>14</v>
      </c>
      <c r="C90" s="2" t="s">
        <v>15</v>
      </c>
      <c r="D90" s="2" t="s">
        <v>32</v>
      </c>
      <c r="E90" s="2">
        <f t="shared" si="1"/>
        <v>8472</v>
      </c>
      <c r="F90" s="2">
        <f t="shared" si="2"/>
        <v>423.6</v>
      </c>
      <c r="G90" s="2">
        <f t="shared" si="3"/>
        <v>351.588</v>
      </c>
      <c r="H90" s="2">
        <f t="shared" si="4"/>
        <v>85</v>
      </c>
      <c r="I90" s="2">
        <f t="shared" si="5"/>
        <v>3503</v>
      </c>
    </row>
    <row r="91" ht="15.75" customHeight="1">
      <c r="A91" s="3">
        <v>44938.0</v>
      </c>
      <c r="B91" s="2" t="s">
        <v>14</v>
      </c>
      <c r="C91" s="2" t="s">
        <v>17</v>
      </c>
      <c r="D91" s="2" t="s">
        <v>24</v>
      </c>
      <c r="E91" s="2">
        <f t="shared" si="1"/>
        <v>9904</v>
      </c>
      <c r="F91" s="2">
        <f t="shared" si="2"/>
        <v>495.2</v>
      </c>
      <c r="G91" s="2">
        <f t="shared" si="3"/>
        <v>609.096</v>
      </c>
      <c r="H91" s="2">
        <f t="shared" si="4"/>
        <v>54</v>
      </c>
      <c r="I91" s="2">
        <f t="shared" si="5"/>
        <v>3060</v>
      </c>
    </row>
    <row r="92" ht="15.75" customHeight="1">
      <c r="A92" s="3">
        <v>44938.0</v>
      </c>
      <c r="B92" s="2" t="s">
        <v>20</v>
      </c>
      <c r="C92" s="2" t="s">
        <v>21</v>
      </c>
      <c r="D92" s="2" t="s">
        <v>19</v>
      </c>
      <c r="E92" s="2">
        <f t="shared" si="1"/>
        <v>3145</v>
      </c>
      <c r="F92" s="2">
        <f t="shared" si="2"/>
        <v>220.15</v>
      </c>
      <c r="G92" s="2">
        <f t="shared" si="3"/>
        <v>246.568</v>
      </c>
      <c r="H92" s="2">
        <f t="shared" si="4"/>
        <v>40</v>
      </c>
      <c r="I92" s="2">
        <f t="shared" si="5"/>
        <v>1382</v>
      </c>
    </row>
    <row r="93" ht="15.75" customHeight="1">
      <c r="A93" s="3">
        <v>44938.0</v>
      </c>
      <c r="B93" s="2" t="s">
        <v>20</v>
      </c>
      <c r="C93" s="2" t="s">
        <v>23</v>
      </c>
      <c r="D93" s="2" t="s">
        <v>13</v>
      </c>
      <c r="E93" s="2">
        <f t="shared" si="1"/>
        <v>3557</v>
      </c>
      <c r="F93" s="2">
        <f t="shared" si="2"/>
        <v>355.7</v>
      </c>
      <c r="G93" s="2">
        <f t="shared" si="3"/>
        <v>508.651</v>
      </c>
      <c r="H93" s="2">
        <f t="shared" si="4"/>
        <v>64</v>
      </c>
      <c r="I93" s="2">
        <f t="shared" si="5"/>
        <v>4355</v>
      </c>
    </row>
    <row r="94" ht="15.75" customHeight="1">
      <c r="A94" s="3">
        <v>44938.0</v>
      </c>
      <c r="B94" s="2" t="s">
        <v>26</v>
      </c>
      <c r="C94" s="2" t="s">
        <v>27</v>
      </c>
      <c r="D94" s="2" t="s">
        <v>18</v>
      </c>
      <c r="E94" s="2">
        <f t="shared" si="1"/>
        <v>12630</v>
      </c>
      <c r="F94" s="2">
        <f t="shared" si="2"/>
        <v>1010.4</v>
      </c>
      <c r="G94" s="2">
        <f t="shared" si="3"/>
        <v>919.464</v>
      </c>
      <c r="H94" s="2">
        <f t="shared" si="4"/>
        <v>51</v>
      </c>
      <c r="I94" s="2">
        <f t="shared" si="5"/>
        <v>3564</v>
      </c>
    </row>
    <row r="95" ht="15.75" customHeight="1">
      <c r="A95" s="3">
        <v>44938.0</v>
      </c>
      <c r="B95" s="2" t="s">
        <v>26</v>
      </c>
      <c r="C95" s="2" t="s">
        <v>31</v>
      </c>
      <c r="D95" s="2" t="s">
        <v>13</v>
      </c>
      <c r="E95" s="2">
        <f t="shared" si="1"/>
        <v>11260</v>
      </c>
      <c r="F95" s="2">
        <f t="shared" si="2"/>
        <v>788.2</v>
      </c>
      <c r="G95" s="2">
        <f t="shared" si="3"/>
        <v>1008.896</v>
      </c>
      <c r="H95" s="2">
        <f t="shared" si="4"/>
        <v>110</v>
      </c>
      <c r="I95" s="2">
        <f t="shared" si="5"/>
        <v>2228</v>
      </c>
    </row>
    <row r="96" ht="15.75" customHeight="1">
      <c r="A96" s="3">
        <v>44938.0</v>
      </c>
      <c r="B96" s="2" t="s">
        <v>33</v>
      </c>
      <c r="C96" s="2" t="s">
        <v>34</v>
      </c>
      <c r="D96" s="2" t="s">
        <v>18</v>
      </c>
      <c r="E96" s="2">
        <f t="shared" si="1"/>
        <v>3316</v>
      </c>
      <c r="F96" s="2">
        <f t="shared" si="2"/>
        <v>165.8</v>
      </c>
      <c r="G96" s="2">
        <f t="shared" si="3"/>
        <v>0</v>
      </c>
      <c r="H96" s="2">
        <f t="shared" si="4"/>
        <v>23</v>
      </c>
      <c r="I96" s="2">
        <f t="shared" si="5"/>
        <v>3503</v>
      </c>
    </row>
    <row r="97" ht="15.75" customHeight="1">
      <c r="A97" s="3">
        <v>44938.0</v>
      </c>
      <c r="B97" s="2" t="s">
        <v>33</v>
      </c>
      <c r="C97" s="2" t="s">
        <v>35</v>
      </c>
      <c r="D97" s="2" t="s">
        <v>25</v>
      </c>
      <c r="E97" s="2">
        <f t="shared" si="1"/>
        <v>4004</v>
      </c>
      <c r="F97" s="2">
        <f t="shared" si="2"/>
        <v>320.32</v>
      </c>
      <c r="G97" s="2">
        <f t="shared" si="3"/>
        <v>0</v>
      </c>
      <c r="H97" s="2">
        <f t="shared" si="4"/>
        <v>19</v>
      </c>
      <c r="I97" s="2">
        <f t="shared" si="5"/>
        <v>3849</v>
      </c>
    </row>
    <row r="98" ht="15.75" customHeight="1">
      <c r="A98" s="3">
        <v>44939.0</v>
      </c>
      <c r="B98" s="2" t="s">
        <v>14</v>
      </c>
      <c r="C98" s="2" t="s">
        <v>15</v>
      </c>
      <c r="D98" s="2" t="s">
        <v>22</v>
      </c>
      <c r="E98" s="2">
        <f t="shared" si="1"/>
        <v>10216</v>
      </c>
      <c r="F98" s="2">
        <f t="shared" si="2"/>
        <v>612.96</v>
      </c>
      <c r="G98" s="2">
        <f t="shared" si="3"/>
        <v>876.5328</v>
      </c>
      <c r="H98" s="2">
        <f t="shared" si="4"/>
        <v>49</v>
      </c>
      <c r="I98" s="2">
        <f t="shared" si="5"/>
        <v>125</v>
      </c>
    </row>
    <row r="99" ht="15.75" customHeight="1">
      <c r="A99" s="3">
        <v>44939.0</v>
      </c>
      <c r="B99" s="2" t="s">
        <v>14</v>
      </c>
      <c r="C99" s="2" t="s">
        <v>17</v>
      </c>
      <c r="D99" s="2" t="s">
        <v>13</v>
      </c>
      <c r="E99" s="2">
        <f t="shared" si="1"/>
        <v>5593</v>
      </c>
      <c r="F99" s="2">
        <f t="shared" si="2"/>
        <v>391.51</v>
      </c>
      <c r="G99" s="2">
        <f t="shared" si="3"/>
        <v>446.3214</v>
      </c>
      <c r="H99" s="2">
        <f t="shared" si="4"/>
        <v>63</v>
      </c>
      <c r="I99" s="2">
        <f t="shared" si="5"/>
        <v>338</v>
      </c>
    </row>
    <row r="100" ht="15.75" customHeight="1">
      <c r="A100" s="3">
        <v>44939.0</v>
      </c>
      <c r="B100" s="2" t="s">
        <v>20</v>
      </c>
      <c r="C100" s="2" t="s">
        <v>21</v>
      </c>
      <c r="D100" s="2" t="s">
        <v>28</v>
      </c>
      <c r="E100" s="2">
        <f t="shared" si="1"/>
        <v>5141</v>
      </c>
      <c r="F100" s="2">
        <f t="shared" si="2"/>
        <v>102.82</v>
      </c>
      <c r="G100" s="2">
        <f t="shared" si="3"/>
        <v>35.987</v>
      </c>
      <c r="H100" s="2">
        <f t="shared" si="4"/>
        <v>12</v>
      </c>
      <c r="I100" s="2">
        <f t="shared" si="5"/>
        <v>3494</v>
      </c>
    </row>
    <row r="101" ht="15.75" customHeight="1">
      <c r="A101" s="3">
        <v>44939.0</v>
      </c>
      <c r="B101" s="2" t="s">
        <v>20</v>
      </c>
      <c r="C101" s="2" t="s">
        <v>23</v>
      </c>
      <c r="D101" s="2" t="s">
        <v>22</v>
      </c>
      <c r="E101" s="2">
        <f t="shared" si="1"/>
        <v>4585</v>
      </c>
      <c r="F101" s="2">
        <f t="shared" si="2"/>
        <v>366.8</v>
      </c>
      <c r="G101" s="2">
        <f t="shared" si="3"/>
        <v>297.108</v>
      </c>
      <c r="H101" s="2">
        <f t="shared" si="4"/>
        <v>51</v>
      </c>
      <c r="I101" s="2">
        <f t="shared" si="5"/>
        <v>1831</v>
      </c>
    </row>
    <row r="102" ht="15.75" customHeight="1">
      <c r="A102" s="3">
        <v>44939.0</v>
      </c>
      <c r="B102" s="2" t="s">
        <v>26</v>
      </c>
      <c r="C102" s="2" t="s">
        <v>27</v>
      </c>
      <c r="D102" s="2" t="s">
        <v>22</v>
      </c>
      <c r="E102" s="2">
        <f t="shared" si="1"/>
        <v>9232</v>
      </c>
      <c r="F102" s="2">
        <f t="shared" si="2"/>
        <v>276.96</v>
      </c>
      <c r="G102" s="2">
        <f t="shared" si="3"/>
        <v>512.376</v>
      </c>
      <c r="H102" s="2">
        <f t="shared" si="4"/>
        <v>47</v>
      </c>
      <c r="I102" s="2">
        <f t="shared" si="5"/>
        <v>3884</v>
      </c>
    </row>
    <row r="103" ht="15.75" customHeight="1">
      <c r="A103" s="3">
        <v>44939.0</v>
      </c>
      <c r="B103" s="2" t="s">
        <v>26</v>
      </c>
      <c r="C103" s="2" t="s">
        <v>31</v>
      </c>
      <c r="D103" s="2" t="s">
        <v>22</v>
      </c>
      <c r="E103" s="2">
        <f t="shared" si="1"/>
        <v>13189</v>
      </c>
      <c r="F103" s="2">
        <f t="shared" si="2"/>
        <v>395.67</v>
      </c>
      <c r="G103" s="2">
        <f t="shared" si="3"/>
        <v>415.4535</v>
      </c>
      <c r="H103" s="2">
        <f t="shared" si="4"/>
        <v>71</v>
      </c>
      <c r="I103" s="2">
        <f t="shared" si="5"/>
        <v>4184</v>
      </c>
    </row>
    <row r="104" ht="15.75" customHeight="1">
      <c r="A104" s="3">
        <v>44939.0</v>
      </c>
      <c r="B104" s="2" t="s">
        <v>33</v>
      </c>
      <c r="C104" s="2" t="s">
        <v>34</v>
      </c>
      <c r="D104" s="2" t="s">
        <v>30</v>
      </c>
      <c r="E104" s="2">
        <f t="shared" si="1"/>
        <v>4837</v>
      </c>
      <c r="F104" s="2">
        <f t="shared" si="2"/>
        <v>193.48</v>
      </c>
      <c r="G104" s="2">
        <f t="shared" si="3"/>
        <v>0</v>
      </c>
      <c r="H104" s="2">
        <f t="shared" si="4"/>
        <v>14</v>
      </c>
      <c r="I104" s="2">
        <f t="shared" si="5"/>
        <v>3210</v>
      </c>
    </row>
    <row r="105" ht="15.75" customHeight="1">
      <c r="A105" s="3">
        <v>44939.0</v>
      </c>
      <c r="B105" s="2" t="s">
        <v>33</v>
      </c>
      <c r="C105" s="2" t="s">
        <v>35</v>
      </c>
      <c r="D105" s="2" t="s">
        <v>18</v>
      </c>
      <c r="E105" s="2">
        <f t="shared" si="1"/>
        <v>4929</v>
      </c>
      <c r="F105" s="2">
        <f t="shared" si="2"/>
        <v>246.45</v>
      </c>
      <c r="G105" s="2">
        <f t="shared" si="3"/>
        <v>0</v>
      </c>
      <c r="H105" s="2">
        <f t="shared" si="4"/>
        <v>35</v>
      </c>
      <c r="I105" s="2">
        <f t="shared" si="5"/>
        <v>2872</v>
      </c>
    </row>
    <row r="106" ht="15.75" customHeight="1">
      <c r="A106" s="3">
        <v>44940.0</v>
      </c>
      <c r="B106" s="2" t="s">
        <v>14</v>
      </c>
      <c r="C106" s="2" t="s">
        <v>15</v>
      </c>
      <c r="D106" s="2" t="s">
        <v>19</v>
      </c>
      <c r="E106" s="2">
        <f t="shared" si="1"/>
        <v>8704</v>
      </c>
      <c r="F106" s="2">
        <f t="shared" si="2"/>
        <v>348.16</v>
      </c>
      <c r="G106" s="2">
        <f t="shared" si="3"/>
        <v>160.1536</v>
      </c>
      <c r="H106" s="2">
        <f t="shared" si="4"/>
        <v>59</v>
      </c>
      <c r="I106" s="2">
        <f t="shared" si="5"/>
        <v>2833</v>
      </c>
    </row>
    <row r="107" ht="15.75" customHeight="1">
      <c r="A107" s="3">
        <v>44940.0</v>
      </c>
      <c r="B107" s="2" t="s">
        <v>14</v>
      </c>
      <c r="C107" s="2" t="s">
        <v>17</v>
      </c>
      <c r="D107" s="2" t="s">
        <v>25</v>
      </c>
      <c r="E107" s="2">
        <f t="shared" si="1"/>
        <v>8393</v>
      </c>
      <c r="F107" s="2">
        <f t="shared" si="2"/>
        <v>335.72</v>
      </c>
      <c r="G107" s="2">
        <f t="shared" si="3"/>
        <v>661.3684</v>
      </c>
      <c r="H107" s="2">
        <f t="shared" si="4"/>
        <v>27</v>
      </c>
      <c r="I107" s="2">
        <f t="shared" si="5"/>
        <v>4299</v>
      </c>
    </row>
    <row r="108" ht="15.75" customHeight="1">
      <c r="A108" s="3">
        <v>44940.0</v>
      </c>
      <c r="B108" s="2" t="s">
        <v>20</v>
      </c>
      <c r="C108" s="2" t="s">
        <v>21</v>
      </c>
      <c r="D108" s="2" t="s">
        <v>24</v>
      </c>
      <c r="E108" s="2">
        <f t="shared" si="1"/>
        <v>2003</v>
      </c>
      <c r="F108" s="2">
        <f t="shared" si="2"/>
        <v>100.15</v>
      </c>
      <c r="G108" s="2">
        <f t="shared" si="3"/>
        <v>77.1155</v>
      </c>
      <c r="H108" s="2">
        <f t="shared" si="4"/>
        <v>13</v>
      </c>
      <c r="I108" s="2">
        <f t="shared" si="5"/>
        <v>4098</v>
      </c>
    </row>
    <row r="109" ht="15.75" customHeight="1">
      <c r="A109" s="3">
        <v>44940.0</v>
      </c>
      <c r="B109" s="2" t="s">
        <v>20</v>
      </c>
      <c r="C109" s="2" t="s">
        <v>23</v>
      </c>
      <c r="D109" s="2" t="s">
        <v>28</v>
      </c>
      <c r="E109" s="2">
        <f t="shared" si="1"/>
        <v>3604</v>
      </c>
      <c r="F109" s="2">
        <f t="shared" si="2"/>
        <v>180.2</v>
      </c>
      <c r="G109" s="2">
        <f t="shared" si="3"/>
        <v>302.736</v>
      </c>
      <c r="H109" s="2">
        <f t="shared" si="4"/>
        <v>9</v>
      </c>
      <c r="I109" s="2">
        <f t="shared" si="5"/>
        <v>3745</v>
      </c>
    </row>
    <row r="110" ht="15.75" customHeight="1">
      <c r="A110" s="3">
        <v>44940.0</v>
      </c>
      <c r="B110" s="2" t="s">
        <v>26</v>
      </c>
      <c r="C110" s="2" t="s">
        <v>27</v>
      </c>
      <c r="D110" s="2" t="s">
        <v>18</v>
      </c>
      <c r="E110" s="2">
        <f t="shared" si="1"/>
        <v>14325</v>
      </c>
      <c r="F110" s="2">
        <f t="shared" si="2"/>
        <v>429.75</v>
      </c>
      <c r="G110" s="2">
        <f t="shared" si="3"/>
        <v>455.535</v>
      </c>
      <c r="H110" s="2">
        <f t="shared" si="4"/>
        <v>47</v>
      </c>
      <c r="I110" s="2">
        <f t="shared" si="5"/>
        <v>1430</v>
      </c>
    </row>
    <row r="111" ht="15.75" customHeight="1">
      <c r="A111" s="3">
        <v>44940.0</v>
      </c>
      <c r="B111" s="2" t="s">
        <v>26</v>
      </c>
      <c r="C111" s="2" t="s">
        <v>31</v>
      </c>
      <c r="D111" s="2" t="s">
        <v>18</v>
      </c>
      <c r="E111" s="2">
        <f t="shared" si="1"/>
        <v>12161</v>
      </c>
      <c r="F111" s="2">
        <f t="shared" si="2"/>
        <v>486.44</v>
      </c>
      <c r="G111" s="2">
        <f t="shared" si="3"/>
        <v>797.7616</v>
      </c>
      <c r="H111" s="2">
        <f t="shared" si="4"/>
        <v>68</v>
      </c>
      <c r="I111" s="2">
        <f t="shared" si="5"/>
        <v>1601</v>
      </c>
    </row>
    <row r="112" ht="15.75" customHeight="1">
      <c r="A112" s="3">
        <v>44940.0</v>
      </c>
      <c r="B112" s="2" t="s">
        <v>33</v>
      </c>
      <c r="C112" s="2" t="s">
        <v>34</v>
      </c>
      <c r="D112" s="2" t="s">
        <v>30</v>
      </c>
      <c r="E112" s="2">
        <f t="shared" si="1"/>
        <v>5092</v>
      </c>
      <c r="F112" s="2">
        <f t="shared" si="2"/>
        <v>458.28</v>
      </c>
      <c r="G112" s="2">
        <f t="shared" si="3"/>
        <v>0</v>
      </c>
      <c r="H112" s="2">
        <f t="shared" si="4"/>
        <v>50</v>
      </c>
      <c r="I112" s="2">
        <f t="shared" si="5"/>
        <v>348</v>
      </c>
    </row>
    <row r="113" ht="15.75" customHeight="1">
      <c r="A113" s="3">
        <v>44940.0</v>
      </c>
      <c r="B113" s="2" t="s">
        <v>33</v>
      </c>
      <c r="C113" s="2" t="s">
        <v>35</v>
      </c>
      <c r="D113" s="2" t="s">
        <v>28</v>
      </c>
      <c r="E113" s="2">
        <f t="shared" si="1"/>
        <v>5159</v>
      </c>
      <c r="F113" s="2">
        <f t="shared" si="2"/>
        <v>309.54</v>
      </c>
      <c r="G113" s="2">
        <f t="shared" si="3"/>
        <v>0</v>
      </c>
      <c r="H113" s="2">
        <f t="shared" si="4"/>
        <v>31</v>
      </c>
      <c r="I113" s="2">
        <f t="shared" si="5"/>
        <v>859</v>
      </c>
    </row>
    <row r="114" ht="15.75" customHeight="1">
      <c r="A114" s="3">
        <v>44941.0</v>
      </c>
      <c r="B114" s="2" t="s">
        <v>14</v>
      </c>
      <c r="C114" s="2" t="s">
        <v>15</v>
      </c>
      <c r="D114" s="2" t="s">
        <v>16</v>
      </c>
      <c r="E114" s="2">
        <f t="shared" si="1"/>
        <v>8297</v>
      </c>
      <c r="F114" s="2">
        <f t="shared" si="2"/>
        <v>497.82</v>
      </c>
      <c r="G114" s="2">
        <f t="shared" si="3"/>
        <v>826.3812</v>
      </c>
      <c r="H114" s="2">
        <f t="shared" si="4"/>
        <v>75</v>
      </c>
      <c r="I114" s="2">
        <f t="shared" si="5"/>
        <v>317</v>
      </c>
    </row>
    <row r="115" ht="15.75" customHeight="1">
      <c r="A115" s="3">
        <v>44941.0</v>
      </c>
      <c r="B115" s="2" t="s">
        <v>14</v>
      </c>
      <c r="C115" s="2" t="s">
        <v>17</v>
      </c>
      <c r="D115" s="2" t="s">
        <v>16</v>
      </c>
      <c r="E115" s="2">
        <f t="shared" si="1"/>
        <v>5361</v>
      </c>
      <c r="F115" s="2">
        <f t="shared" si="2"/>
        <v>321.66</v>
      </c>
      <c r="G115" s="2">
        <f t="shared" si="3"/>
        <v>353.826</v>
      </c>
      <c r="H115" s="2">
        <f t="shared" si="4"/>
        <v>35</v>
      </c>
      <c r="I115" s="2">
        <f t="shared" si="5"/>
        <v>2417</v>
      </c>
    </row>
    <row r="116" ht="15.75" customHeight="1">
      <c r="A116" s="3">
        <v>44941.0</v>
      </c>
      <c r="B116" s="2" t="s">
        <v>20</v>
      </c>
      <c r="C116" s="2" t="s">
        <v>21</v>
      </c>
      <c r="D116" s="2" t="s">
        <v>32</v>
      </c>
      <c r="E116" s="2">
        <f t="shared" si="1"/>
        <v>5214</v>
      </c>
      <c r="F116" s="2">
        <f t="shared" si="2"/>
        <v>208.56</v>
      </c>
      <c r="G116" s="2">
        <f t="shared" si="3"/>
        <v>273.2136</v>
      </c>
      <c r="H116" s="2">
        <f t="shared" si="4"/>
        <v>42</v>
      </c>
      <c r="I116" s="2">
        <f t="shared" si="5"/>
        <v>4643</v>
      </c>
    </row>
    <row r="117" ht="15.75" customHeight="1">
      <c r="A117" s="3">
        <v>44941.0</v>
      </c>
      <c r="B117" s="2" t="s">
        <v>20</v>
      </c>
      <c r="C117" s="2" t="s">
        <v>23</v>
      </c>
      <c r="D117" s="2" t="s">
        <v>30</v>
      </c>
      <c r="E117" s="2">
        <f t="shared" si="1"/>
        <v>3626</v>
      </c>
      <c r="F117" s="2">
        <f t="shared" si="2"/>
        <v>326.34</v>
      </c>
      <c r="G117" s="2">
        <f t="shared" si="3"/>
        <v>221.9112</v>
      </c>
      <c r="H117" s="2">
        <f t="shared" si="4"/>
        <v>39</v>
      </c>
      <c r="I117" s="2">
        <f t="shared" si="5"/>
        <v>3142</v>
      </c>
    </row>
    <row r="118" ht="15.75" customHeight="1">
      <c r="A118" s="3">
        <v>44941.0</v>
      </c>
      <c r="B118" s="2" t="s">
        <v>26</v>
      </c>
      <c r="C118" s="2" t="s">
        <v>27</v>
      </c>
      <c r="D118" s="2" t="s">
        <v>16</v>
      </c>
      <c r="E118" s="2">
        <f t="shared" si="1"/>
        <v>14377</v>
      </c>
      <c r="F118" s="2">
        <f t="shared" si="2"/>
        <v>1150.16</v>
      </c>
      <c r="G118" s="2">
        <f t="shared" si="3"/>
        <v>655.5912</v>
      </c>
      <c r="H118" s="2">
        <f t="shared" si="4"/>
        <v>81</v>
      </c>
      <c r="I118" s="2">
        <f t="shared" si="5"/>
        <v>4879</v>
      </c>
    </row>
    <row r="119" ht="15.75" customHeight="1">
      <c r="A119" s="3">
        <v>44941.0</v>
      </c>
      <c r="B119" s="2" t="s">
        <v>26</v>
      </c>
      <c r="C119" s="2" t="s">
        <v>31</v>
      </c>
      <c r="D119" s="2" t="s">
        <v>22</v>
      </c>
      <c r="E119" s="2">
        <f t="shared" si="1"/>
        <v>8479</v>
      </c>
      <c r="F119" s="2">
        <f t="shared" si="2"/>
        <v>423.95</v>
      </c>
      <c r="G119" s="2">
        <f t="shared" si="3"/>
        <v>483.303</v>
      </c>
      <c r="H119" s="2">
        <f t="shared" si="4"/>
        <v>55</v>
      </c>
      <c r="I119" s="2">
        <f t="shared" si="5"/>
        <v>356</v>
      </c>
    </row>
    <row r="120" ht="15.75" customHeight="1">
      <c r="A120" s="3">
        <v>44941.0</v>
      </c>
      <c r="B120" s="2" t="s">
        <v>33</v>
      </c>
      <c r="C120" s="2" t="s">
        <v>34</v>
      </c>
      <c r="D120" s="2" t="s">
        <v>13</v>
      </c>
      <c r="E120" s="2">
        <f t="shared" si="1"/>
        <v>2176</v>
      </c>
      <c r="F120" s="2">
        <f t="shared" si="2"/>
        <v>217.6</v>
      </c>
      <c r="G120" s="2">
        <f t="shared" si="3"/>
        <v>0</v>
      </c>
      <c r="H120" s="2">
        <f t="shared" si="4"/>
        <v>11</v>
      </c>
      <c r="I120" s="2">
        <f t="shared" si="5"/>
        <v>4452</v>
      </c>
    </row>
    <row r="121" ht="15.75" customHeight="1">
      <c r="A121" s="3">
        <v>44941.0</v>
      </c>
      <c r="B121" s="2" t="s">
        <v>33</v>
      </c>
      <c r="C121" s="2" t="s">
        <v>35</v>
      </c>
      <c r="D121" s="2" t="s">
        <v>28</v>
      </c>
      <c r="E121" s="2">
        <f t="shared" si="1"/>
        <v>2788</v>
      </c>
      <c r="F121" s="2">
        <f t="shared" si="2"/>
        <v>55.76</v>
      </c>
      <c r="G121" s="2">
        <f t="shared" si="3"/>
        <v>0</v>
      </c>
      <c r="H121" s="2">
        <f t="shared" si="4"/>
        <v>3</v>
      </c>
      <c r="I121" s="2">
        <f t="shared" si="5"/>
        <v>4833</v>
      </c>
    </row>
    <row r="122" ht="15.75" customHeight="1">
      <c r="A122" s="3">
        <v>44942.0</v>
      </c>
      <c r="B122" s="2" t="s">
        <v>14</v>
      </c>
      <c r="C122" s="2" t="s">
        <v>15</v>
      </c>
      <c r="D122" s="2" t="s">
        <v>22</v>
      </c>
      <c r="E122" s="2">
        <f t="shared" si="1"/>
        <v>10290</v>
      </c>
      <c r="F122" s="2">
        <f t="shared" si="2"/>
        <v>514.5</v>
      </c>
      <c r="G122" s="2">
        <f t="shared" si="3"/>
        <v>432.18</v>
      </c>
      <c r="H122" s="2">
        <f t="shared" si="4"/>
        <v>57</v>
      </c>
      <c r="I122" s="2">
        <f t="shared" si="5"/>
        <v>3447</v>
      </c>
    </row>
    <row r="123" ht="15.75" customHeight="1">
      <c r="A123" s="3">
        <v>44942.0</v>
      </c>
      <c r="B123" s="2" t="s">
        <v>14</v>
      </c>
      <c r="C123" s="2" t="s">
        <v>17</v>
      </c>
      <c r="D123" s="2" t="s">
        <v>19</v>
      </c>
      <c r="E123" s="2">
        <f t="shared" si="1"/>
        <v>8345</v>
      </c>
      <c r="F123" s="2">
        <f t="shared" si="2"/>
        <v>584.15</v>
      </c>
      <c r="G123" s="2">
        <f t="shared" si="3"/>
        <v>216.1355</v>
      </c>
      <c r="H123" s="2">
        <f t="shared" si="4"/>
        <v>47</v>
      </c>
      <c r="I123" s="2">
        <f t="shared" si="5"/>
        <v>1534</v>
      </c>
    </row>
    <row r="124" ht="15.75" customHeight="1">
      <c r="A124" s="3">
        <v>44942.0</v>
      </c>
      <c r="B124" s="2" t="s">
        <v>20</v>
      </c>
      <c r="C124" s="2" t="s">
        <v>21</v>
      </c>
      <c r="D124" s="2" t="s">
        <v>32</v>
      </c>
      <c r="E124" s="2">
        <f t="shared" si="1"/>
        <v>2149</v>
      </c>
      <c r="F124" s="2">
        <f t="shared" si="2"/>
        <v>214.9</v>
      </c>
      <c r="G124" s="2">
        <f t="shared" si="3"/>
        <v>281.519</v>
      </c>
      <c r="H124" s="2">
        <f t="shared" si="4"/>
        <v>37</v>
      </c>
      <c r="I124" s="2">
        <f t="shared" si="5"/>
        <v>2573</v>
      </c>
    </row>
    <row r="125" ht="15.75" customHeight="1">
      <c r="A125" s="3">
        <v>44942.0</v>
      </c>
      <c r="B125" s="2" t="s">
        <v>20</v>
      </c>
      <c r="C125" s="2" t="s">
        <v>23</v>
      </c>
      <c r="D125" s="2" t="s">
        <v>30</v>
      </c>
      <c r="E125" s="2">
        <f t="shared" si="1"/>
        <v>3353</v>
      </c>
      <c r="F125" s="2">
        <f t="shared" si="2"/>
        <v>100.59</v>
      </c>
      <c r="G125" s="2">
        <f t="shared" si="3"/>
        <v>55.3245</v>
      </c>
      <c r="H125" s="2">
        <f t="shared" si="4"/>
        <v>15</v>
      </c>
      <c r="I125" s="2">
        <f t="shared" si="5"/>
        <v>3266</v>
      </c>
    </row>
    <row r="126" ht="15.75" customHeight="1">
      <c r="A126" s="3">
        <v>44942.0</v>
      </c>
      <c r="B126" s="2" t="s">
        <v>26</v>
      </c>
      <c r="C126" s="2" t="s">
        <v>27</v>
      </c>
      <c r="D126" s="2" t="s">
        <v>24</v>
      </c>
      <c r="E126" s="2">
        <f t="shared" si="1"/>
        <v>12518</v>
      </c>
      <c r="F126" s="2">
        <f t="shared" si="2"/>
        <v>250.36</v>
      </c>
      <c r="G126" s="2">
        <f t="shared" si="3"/>
        <v>493.2092</v>
      </c>
      <c r="H126" s="2">
        <f t="shared" si="4"/>
        <v>48</v>
      </c>
      <c r="I126" s="2">
        <f t="shared" si="5"/>
        <v>1456</v>
      </c>
    </row>
    <row r="127" ht="15.75" customHeight="1">
      <c r="A127" s="3">
        <v>44942.0</v>
      </c>
      <c r="B127" s="2" t="s">
        <v>26</v>
      </c>
      <c r="C127" s="2" t="s">
        <v>31</v>
      </c>
      <c r="D127" s="2" t="s">
        <v>16</v>
      </c>
      <c r="E127" s="2">
        <f t="shared" si="1"/>
        <v>10870</v>
      </c>
      <c r="F127" s="2">
        <f t="shared" si="2"/>
        <v>652.2</v>
      </c>
      <c r="G127" s="2">
        <f t="shared" si="3"/>
        <v>704.376</v>
      </c>
      <c r="H127" s="2">
        <f t="shared" si="4"/>
        <v>124</v>
      </c>
      <c r="I127" s="2">
        <f t="shared" si="5"/>
        <v>1598</v>
      </c>
    </row>
    <row r="128" ht="15.75" customHeight="1">
      <c r="A128" s="3">
        <v>44942.0</v>
      </c>
      <c r="B128" s="2" t="s">
        <v>33</v>
      </c>
      <c r="C128" s="2" t="s">
        <v>34</v>
      </c>
      <c r="D128" s="2" t="s">
        <v>32</v>
      </c>
      <c r="E128" s="2">
        <f t="shared" si="1"/>
        <v>5007</v>
      </c>
      <c r="F128" s="2">
        <f t="shared" si="2"/>
        <v>100.14</v>
      </c>
      <c r="G128" s="2">
        <f t="shared" si="3"/>
        <v>0</v>
      </c>
      <c r="H128" s="2">
        <f t="shared" si="4"/>
        <v>9</v>
      </c>
      <c r="I128" s="2">
        <f t="shared" si="5"/>
        <v>3745</v>
      </c>
    </row>
    <row r="129" ht="15.75" customHeight="1">
      <c r="A129" s="3">
        <v>44942.0</v>
      </c>
      <c r="B129" s="2" t="s">
        <v>33</v>
      </c>
      <c r="C129" s="2" t="s">
        <v>35</v>
      </c>
      <c r="D129" s="2" t="s">
        <v>32</v>
      </c>
      <c r="E129" s="2">
        <f t="shared" si="1"/>
        <v>5262</v>
      </c>
      <c r="F129" s="2">
        <f t="shared" si="2"/>
        <v>210.48</v>
      </c>
      <c r="G129" s="2">
        <f t="shared" si="3"/>
        <v>0</v>
      </c>
      <c r="H129" s="2">
        <f t="shared" si="4"/>
        <v>42</v>
      </c>
      <c r="I129" s="2">
        <f t="shared" si="5"/>
        <v>548</v>
      </c>
    </row>
    <row r="130" ht="15.75" customHeight="1">
      <c r="A130" s="3">
        <v>44943.0</v>
      </c>
      <c r="B130" s="2" t="s">
        <v>14</v>
      </c>
      <c r="C130" s="2" t="s">
        <v>15</v>
      </c>
      <c r="D130" s="2" t="s">
        <v>22</v>
      </c>
      <c r="E130" s="2">
        <f t="shared" si="1"/>
        <v>9806</v>
      </c>
      <c r="F130" s="2">
        <f t="shared" si="2"/>
        <v>882.54</v>
      </c>
      <c r="G130" s="2">
        <f t="shared" si="3"/>
        <v>970.794</v>
      </c>
      <c r="H130" s="2">
        <f t="shared" si="4"/>
        <v>71</v>
      </c>
      <c r="I130" s="2">
        <f t="shared" si="5"/>
        <v>4127</v>
      </c>
    </row>
    <row r="131" ht="15.75" customHeight="1">
      <c r="A131" s="3">
        <v>44943.0</v>
      </c>
      <c r="B131" s="2" t="s">
        <v>14</v>
      </c>
      <c r="C131" s="2" t="s">
        <v>17</v>
      </c>
      <c r="D131" s="2" t="s">
        <v>28</v>
      </c>
      <c r="E131" s="2">
        <f t="shared" si="1"/>
        <v>10824</v>
      </c>
      <c r="F131" s="2">
        <f t="shared" si="2"/>
        <v>432.96</v>
      </c>
      <c r="G131" s="2">
        <f t="shared" si="3"/>
        <v>749.0208</v>
      </c>
      <c r="H131" s="2">
        <f t="shared" si="4"/>
        <v>43</v>
      </c>
      <c r="I131" s="2">
        <f t="shared" si="5"/>
        <v>3451</v>
      </c>
    </row>
    <row r="132" ht="15.75" customHeight="1">
      <c r="A132" s="3">
        <v>44943.0</v>
      </c>
      <c r="B132" s="2" t="s">
        <v>20</v>
      </c>
      <c r="C132" s="2" t="s">
        <v>21</v>
      </c>
      <c r="D132" s="2" t="s">
        <v>32</v>
      </c>
      <c r="E132" s="2">
        <f t="shared" si="1"/>
        <v>5104</v>
      </c>
      <c r="F132" s="2">
        <f t="shared" si="2"/>
        <v>306.24</v>
      </c>
      <c r="G132" s="2">
        <f t="shared" si="3"/>
        <v>520.608</v>
      </c>
      <c r="H132" s="2">
        <f t="shared" si="4"/>
        <v>37</v>
      </c>
      <c r="I132" s="2">
        <f t="shared" si="5"/>
        <v>3933</v>
      </c>
    </row>
    <row r="133" ht="15.75" customHeight="1">
      <c r="A133" s="3">
        <v>44943.0</v>
      </c>
      <c r="B133" s="2" t="s">
        <v>20</v>
      </c>
      <c r="C133" s="2" t="s">
        <v>23</v>
      </c>
      <c r="D133" s="2" t="s">
        <v>22</v>
      </c>
      <c r="E133" s="2">
        <f t="shared" si="1"/>
        <v>3492</v>
      </c>
      <c r="F133" s="2">
        <f t="shared" si="2"/>
        <v>69.84</v>
      </c>
      <c r="G133" s="2">
        <f t="shared" si="3"/>
        <v>120.8232</v>
      </c>
      <c r="H133" s="2">
        <f t="shared" si="4"/>
        <v>11</v>
      </c>
      <c r="I133" s="2">
        <f t="shared" si="5"/>
        <v>177</v>
      </c>
    </row>
    <row r="134" ht="15.75" customHeight="1">
      <c r="A134" s="3">
        <v>44943.0</v>
      </c>
      <c r="B134" s="2" t="s">
        <v>26</v>
      </c>
      <c r="C134" s="2" t="s">
        <v>27</v>
      </c>
      <c r="D134" s="2" t="s">
        <v>25</v>
      </c>
      <c r="E134" s="2">
        <f t="shared" si="1"/>
        <v>10650</v>
      </c>
      <c r="F134" s="2">
        <f t="shared" si="2"/>
        <v>426</v>
      </c>
      <c r="G134" s="2">
        <f t="shared" si="3"/>
        <v>225.78</v>
      </c>
      <c r="H134" s="2">
        <f t="shared" si="4"/>
        <v>55</v>
      </c>
      <c r="I134" s="2">
        <f t="shared" si="5"/>
        <v>3214</v>
      </c>
    </row>
    <row r="135" ht="15.75" customHeight="1">
      <c r="A135" s="3">
        <v>44943.0</v>
      </c>
      <c r="B135" s="2" t="s">
        <v>26</v>
      </c>
      <c r="C135" s="2" t="s">
        <v>31</v>
      </c>
      <c r="D135" s="2" t="s">
        <v>28</v>
      </c>
      <c r="E135" s="2">
        <f t="shared" si="1"/>
        <v>9108</v>
      </c>
      <c r="F135" s="2">
        <f t="shared" si="2"/>
        <v>728.64</v>
      </c>
      <c r="G135" s="2">
        <f t="shared" si="3"/>
        <v>1355.2704</v>
      </c>
      <c r="H135" s="2">
        <f t="shared" si="4"/>
        <v>117</v>
      </c>
      <c r="I135" s="2">
        <f t="shared" si="5"/>
        <v>2130</v>
      </c>
    </row>
    <row r="136" ht="15.75" customHeight="1">
      <c r="A136" s="3">
        <v>44943.0</v>
      </c>
      <c r="B136" s="2" t="s">
        <v>33</v>
      </c>
      <c r="C136" s="2" t="s">
        <v>34</v>
      </c>
      <c r="D136" s="2" t="s">
        <v>24</v>
      </c>
      <c r="E136" s="2">
        <f t="shared" si="1"/>
        <v>2188</v>
      </c>
      <c r="F136" s="2">
        <f t="shared" si="2"/>
        <v>218.8</v>
      </c>
      <c r="G136" s="2">
        <f t="shared" si="3"/>
        <v>0</v>
      </c>
      <c r="H136" s="2">
        <f t="shared" si="4"/>
        <v>15</v>
      </c>
      <c r="I136" s="2">
        <f t="shared" si="5"/>
        <v>4634</v>
      </c>
    </row>
    <row r="137" ht="15.75" customHeight="1">
      <c r="A137" s="3">
        <v>44943.0</v>
      </c>
      <c r="B137" s="2" t="s">
        <v>33</v>
      </c>
      <c r="C137" s="2" t="s">
        <v>35</v>
      </c>
      <c r="D137" s="2" t="s">
        <v>22</v>
      </c>
      <c r="E137" s="2">
        <f t="shared" si="1"/>
        <v>2018</v>
      </c>
      <c r="F137" s="2">
        <f t="shared" si="2"/>
        <v>181.62</v>
      </c>
      <c r="G137" s="2">
        <f t="shared" si="3"/>
        <v>0</v>
      </c>
      <c r="H137" s="2">
        <f t="shared" si="4"/>
        <v>20</v>
      </c>
      <c r="I137" s="2">
        <f t="shared" si="5"/>
        <v>1011</v>
      </c>
    </row>
    <row r="138" ht="15.75" customHeight="1">
      <c r="A138" s="3">
        <v>44944.0</v>
      </c>
      <c r="B138" s="2" t="s">
        <v>14</v>
      </c>
      <c r="C138" s="2" t="s">
        <v>15</v>
      </c>
      <c r="D138" s="2" t="s">
        <v>19</v>
      </c>
      <c r="E138" s="2">
        <f t="shared" si="1"/>
        <v>9545</v>
      </c>
      <c r="F138" s="2">
        <f t="shared" si="2"/>
        <v>572.7</v>
      </c>
      <c r="G138" s="2">
        <f t="shared" si="3"/>
        <v>1128.219</v>
      </c>
      <c r="H138" s="2">
        <f t="shared" si="4"/>
        <v>92</v>
      </c>
      <c r="I138" s="2">
        <f t="shared" si="5"/>
        <v>3896</v>
      </c>
    </row>
    <row r="139" ht="15.75" customHeight="1">
      <c r="A139" s="3">
        <v>44944.0</v>
      </c>
      <c r="B139" s="2" t="s">
        <v>14</v>
      </c>
      <c r="C139" s="2" t="s">
        <v>17</v>
      </c>
      <c r="D139" s="2" t="s">
        <v>22</v>
      </c>
      <c r="E139" s="2">
        <f t="shared" si="1"/>
        <v>9922</v>
      </c>
      <c r="F139" s="2">
        <f t="shared" si="2"/>
        <v>892.98</v>
      </c>
      <c r="G139" s="2">
        <f t="shared" si="3"/>
        <v>589.3668</v>
      </c>
      <c r="H139" s="2">
        <f t="shared" si="4"/>
        <v>80</v>
      </c>
      <c r="I139" s="2">
        <f t="shared" si="5"/>
        <v>4843</v>
      </c>
    </row>
    <row r="140" ht="15.75" customHeight="1">
      <c r="A140" s="3">
        <v>44944.0</v>
      </c>
      <c r="B140" s="2" t="s">
        <v>20</v>
      </c>
      <c r="C140" s="2" t="s">
        <v>21</v>
      </c>
      <c r="D140" s="2" t="s">
        <v>18</v>
      </c>
      <c r="E140" s="2">
        <f t="shared" si="1"/>
        <v>3092</v>
      </c>
      <c r="F140" s="2">
        <f t="shared" si="2"/>
        <v>123.68</v>
      </c>
      <c r="G140" s="2">
        <f t="shared" si="3"/>
        <v>170.6784</v>
      </c>
      <c r="H140" s="2">
        <f t="shared" si="4"/>
        <v>17</v>
      </c>
      <c r="I140" s="2">
        <f t="shared" si="5"/>
        <v>2508</v>
      </c>
    </row>
    <row r="141" ht="15.75" customHeight="1">
      <c r="A141" s="3">
        <v>44944.0</v>
      </c>
      <c r="B141" s="2" t="s">
        <v>20</v>
      </c>
      <c r="C141" s="2" t="s">
        <v>23</v>
      </c>
      <c r="D141" s="2" t="s">
        <v>16</v>
      </c>
      <c r="E141" s="2">
        <f t="shared" si="1"/>
        <v>4979</v>
      </c>
      <c r="F141" s="2">
        <f t="shared" si="2"/>
        <v>199.16</v>
      </c>
      <c r="G141" s="2">
        <f t="shared" si="3"/>
        <v>334.5888</v>
      </c>
      <c r="H141" s="2">
        <f t="shared" si="4"/>
        <v>40</v>
      </c>
      <c r="I141" s="2">
        <f t="shared" si="5"/>
        <v>4594</v>
      </c>
    </row>
    <row r="142" ht="15.75" customHeight="1">
      <c r="A142" s="3">
        <v>44944.0</v>
      </c>
      <c r="B142" s="2" t="s">
        <v>26</v>
      </c>
      <c r="C142" s="2" t="s">
        <v>27</v>
      </c>
      <c r="D142" s="2" t="s">
        <v>32</v>
      </c>
      <c r="E142" s="2">
        <f t="shared" si="1"/>
        <v>9799</v>
      </c>
      <c r="F142" s="2">
        <f t="shared" si="2"/>
        <v>293.97</v>
      </c>
      <c r="G142" s="2">
        <f t="shared" si="3"/>
        <v>214.5981</v>
      </c>
      <c r="H142" s="2">
        <f t="shared" si="4"/>
        <v>47</v>
      </c>
      <c r="I142" s="2">
        <f t="shared" si="5"/>
        <v>4474</v>
      </c>
    </row>
    <row r="143" ht="15.75" customHeight="1">
      <c r="A143" s="3">
        <v>44944.0</v>
      </c>
      <c r="B143" s="2" t="s">
        <v>26</v>
      </c>
      <c r="C143" s="2" t="s">
        <v>31</v>
      </c>
      <c r="D143" s="2" t="s">
        <v>22</v>
      </c>
      <c r="E143" s="2">
        <f t="shared" si="1"/>
        <v>14798</v>
      </c>
      <c r="F143" s="2">
        <f t="shared" si="2"/>
        <v>1479.8</v>
      </c>
      <c r="G143" s="2">
        <f t="shared" si="3"/>
        <v>1716.568</v>
      </c>
      <c r="H143" s="2">
        <f t="shared" si="4"/>
        <v>207</v>
      </c>
      <c r="I143" s="2">
        <f t="shared" si="5"/>
        <v>1828</v>
      </c>
    </row>
    <row r="144" ht="15.75" customHeight="1">
      <c r="A144" s="3">
        <v>44944.0</v>
      </c>
      <c r="B144" s="2" t="s">
        <v>33</v>
      </c>
      <c r="C144" s="2" t="s">
        <v>34</v>
      </c>
      <c r="D144" s="2" t="s">
        <v>13</v>
      </c>
      <c r="E144" s="2">
        <f t="shared" si="1"/>
        <v>5997</v>
      </c>
      <c r="F144" s="2">
        <f t="shared" si="2"/>
        <v>179.91</v>
      </c>
      <c r="G144" s="2">
        <f t="shared" si="3"/>
        <v>0</v>
      </c>
      <c r="H144" s="2">
        <f t="shared" si="4"/>
        <v>27</v>
      </c>
      <c r="I144" s="2">
        <f t="shared" si="5"/>
        <v>608</v>
      </c>
    </row>
    <row r="145" ht="15.75" customHeight="1">
      <c r="A145" s="3">
        <v>44944.0</v>
      </c>
      <c r="B145" s="2" t="s">
        <v>33</v>
      </c>
      <c r="C145" s="2" t="s">
        <v>35</v>
      </c>
      <c r="D145" s="2" t="s">
        <v>28</v>
      </c>
      <c r="E145" s="2">
        <f t="shared" si="1"/>
        <v>2673</v>
      </c>
      <c r="F145" s="2">
        <f t="shared" si="2"/>
        <v>53.46</v>
      </c>
      <c r="G145" s="2">
        <f t="shared" si="3"/>
        <v>0</v>
      </c>
      <c r="H145" s="2">
        <f t="shared" si="4"/>
        <v>9</v>
      </c>
      <c r="I145" s="2">
        <f t="shared" si="5"/>
        <v>4361</v>
      </c>
    </row>
    <row r="146" ht="15.75" customHeight="1">
      <c r="A146" s="3">
        <v>44945.0</v>
      </c>
      <c r="B146" s="2" t="s">
        <v>14</v>
      </c>
      <c r="C146" s="2" t="s">
        <v>15</v>
      </c>
      <c r="D146" s="2" t="s">
        <v>32</v>
      </c>
      <c r="E146" s="2">
        <f t="shared" si="1"/>
        <v>6322</v>
      </c>
      <c r="F146" s="2">
        <f t="shared" si="2"/>
        <v>442.54</v>
      </c>
      <c r="G146" s="2">
        <f t="shared" si="3"/>
        <v>575.302</v>
      </c>
      <c r="H146" s="2">
        <f t="shared" si="4"/>
        <v>35</v>
      </c>
      <c r="I146" s="2">
        <f t="shared" si="5"/>
        <v>1257</v>
      </c>
    </row>
    <row r="147" ht="15.75" customHeight="1">
      <c r="A147" s="3">
        <v>44945.0</v>
      </c>
      <c r="B147" s="2" t="s">
        <v>14</v>
      </c>
      <c r="C147" s="2" t="s">
        <v>17</v>
      </c>
      <c r="D147" s="2" t="s">
        <v>19</v>
      </c>
      <c r="E147" s="2">
        <f t="shared" si="1"/>
        <v>5476</v>
      </c>
      <c r="F147" s="2">
        <f t="shared" si="2"/>
        <v>383.32</v>
      </c>
      <c r="G147" s="2">
        <f t="shared" si="3"/>
        <v>371.8204</v>
      </c>
      <c r="H147" s="2">
        <f t="shared" si="4"/>
        <v>77</v>
      </c>
      <c r="I147" s="2">
        <f t="shared" si="5"/>
        <v>4372</v>
      </c>
    </row>
    <row r="148" ht="15.75" customHeight="1">
      <c r="A148" s="3">
        <v>44945.0</v>
      </c>
      <c r="B148" s="2" t="s">
        <v>20</v>
      </c>
      <c r="C148" s="2" t="s">
        <v>21</v>
      </c>
      <c r="D148" s="2" t="s">
        <v>30</v>
      </c>
      <c r="E148" s="2">
        <f t="shared" si="1"/>
        <v>5352</v>
      </c>
      <c r="F148" s="2">
        <f t="shared" si="2"/>
        <v>428.16</v>
      </c>
      <c r="G148" s="2">
        <f t="shared" si="3"/>
        <v>548.0448</v>
      </c>
      <c r="H148" s="2">
        <f t="shared" si="4"/>
        <v>21</v>
      </c>
      <c r="I148" s="2">
        <f t="shared" si="5"/>
        <v>3455</v>
      </c>
    </row>
    <row r="149" ht="15.75" customHeight="1">
      <c r="A149" s="3">
        <v>44945.0</v>
      </c>
      <c r="B149" s="2" t="s">
        <v>20</v>
      </c>
      <c r="C149" s="2" t="s">
        <v>23</v>
      </c>
      <c r="D149" s="2" t="s">
        <v>32</v>
      </c>
      <c r="E149" s="2">
        <f t="shared" si="1"/>
        <v>4624</v>
      </c>
      <c r="F149" s="2">
        <f t="shared" si="2"/>
        <v>92.48</v>
      </c>
      <c r="G149" s="2">
        <f t="shared" si="3"/>
        <v>111.9008</v>
      </c>
      <c r="H149" s="2">
        <f t="shared" si="4"/>
        <v>6</v>
      </c>
      <c r="I149" s="2">
        <f t="shared" si="5"/>
        <v>2822</v>
      </c>
    </row>
    <row r="150" ht="15.75" customHeight="1">
      <c r="A150" s="3">
        <v>44945.0</v>
      </c>
      <c r="B150" s="2" t="s">
        <v>26</v>
      </c>
      <c r="C150" s="2" t="s">
        <v>27</v>
      </c>
      <c r="D150" s="2" t="s">
        <v>30</v>
      </c>
      <c r="E150" s="2">
        <f t="shared" si="1"/>
        <v>13210</v>
      </c>
      <c r="F150" s="2">
        <f t="shared" si="2"/>
        <v>660.5</v>
      </c>
      <c r="G150" s="2">
        <f t="shared" si="3"/>
        <v>508.585</v>
      </c>
      <c r="H150" s="2">
        <f t="shared" si="4"/>
        <v>33</v>
      </c>
      <c r="I150" s="2">
        <f t="shared" si="5"/>
        <v>4675</v>
      </c>
    </row>
    <row r="151" ht="15.75" customHeight="1">
      <c r="A151" s="3">
        <v>44945.0</v>
      </c>
      <c r="B151" s="2" t="s">
        <v>26</v>
      </c>
      <c r="C151" s="2" t="s">
        <v>31</v>
      </c>
      <c r="D151" s="2" t="s">
        <v>18</v>
      </c>
      <c r="E151" s="2">
        <f t="shared" si="1"/>
        <v>12407</v>
      </c>
      <c r="F151" s="2">
        <f t="shared" si="2"/>
        <v>372.21</v>
      </c>
      <c r="G151" s="2">
        <f t="shared" si="3"/>
        <v>722.0874</v>
      </c>
      <c r="H151" s="2">
        <f t="shared" si="4"/>
        <v>63</v>
      </c>
      <c r="I151" s="2">
        <f t="shared" si="5"/>
        <v>1568</v>
      </c>
    </row>
    <row r="152" ht="15.75" customHeight="1">
      <c r="A152" s="3">
        <v>44945.0</v>
      </c>
      <c r="B152" s="2" t="s">
        <v>33</v>
      </c>
      <c r="C152" s="2" t="s">
        <v>34</v>
      </c>
      <c r="D152" s="2" t="s">
        <v>28</v>
      </c>
      <c r="E152" s="2">
        <f t="shared" si="1"/>
        <v>4850</v>
      </c>
      <c r="F152" s="2">
        <f t="shared" si="2"/>
        <v>242.5</v>
      </c>
      <c r="G152" s="2">
        <f t="shared" si="3"/>
        <v>0</v>
      </c>
      <c r="H152" s="2">
        <f t="shared" si="4"/>
        <v>15</v>
      </c>
      <c r="I152" s="2">
        <f t="shared" si="5"/>
        <v>3028</v>
      </c>
    </row>
    <row r="153" ht="15.75" customHeight="1">
      <c r="A153" s="3">
        <v>44945.0</v>
      </c>
      <c r="B153" s="2" t="s">
        <v>33</v>
      </c>
      <c r="C153" s="2" t="s">
        <v>35</v>
      </c>
      <c r="D153" s="2" t="s">
        <v>13</v>
      </c>
      <c r="E153" s="2">
        <f t="shared" si="1"/>
        <v>2765</v>
      </c>
      <c r="F153" s="2">
        <f t="shared" si="2"/>
        <v>55.3</v>
      </c>
      <c r="G153" s="2">
        <f t="shared" si="3"/>
        <v>0</v>
      </c>
      <c r="H153" s="2">
        <f t="shared" si="4"/>
        <v>9</v>
      </c>
      <c r="I153" s="2">
        <f t="shared" si="5"/>
        <v>1735</v>
      </c>
    </row>
    <row r="154" ht="15.75" customHeight="1">
      <c r="A154" s="3">
        <v>44946.0</v>
      </c>
      <c r="B154" s="2" t="s">
        <v>14</v>
      </c>
      <c r="C154" s="2" t="s">
        <v>15</v>
      </c>
      <c r="D154" s="2" t="s">
        <v>28</v>
      </c>
      <c r="E154" s="2">
        <f t="shared" si="1"/>
        <v>9875</v>
      </c>
      <c r="F154" s="2">
        <f t="shared" si="2"/>
        <v>790</v>
      </c>
      <c r="G154" s="2">
        <f t="shared" si="3"/>
        <v>489.8</v>
      </c>
      <c r="H154" s="2">
        <f t="shared" si="4"/>
        <v>119</v>
      </c>
      <c r="I154" s="2">
        <f t="shared" si="5"/>
        <v>4379</v>
      </c>
    </row>
    <row r="155" ht="15.75" customHeight="1">
      <c r="A155" s="3">
        <v>44946.0</v>
      </c>
      <c r="B155" s="2" t="s">
        <v>14</v>
      </c>
      <c r="C155" s="2" t="s">
        <v>17</v>
      </c>
      <c r="D155" s="2" t="s">
        <v>19</v>
      </c>
      <c r="E155" s="2">
        <f t="shared" si="1"/>
        <v>9562</v>
      </c>
      <c r="F155" s="2">
        <f t="shared" si="2"/>
        <v>191.24</v>
      </c>
      <c r="G155" s="2">
        <f t="shared" si="3"/>
        <v>225.6632</v>
      </c>
      <c r="H155" s="2">
        <f t="shared" si="4"/>
        <v>34</v>
      </c>
      <c r="I155" s="2">
        <f t="shared" si="5"/>
        <v>1087</v>
      </c>
    </row>
    <row r="156" ht="15.75" customHeight="1">
      <c r="A156" s="3">
        <v>44946.0</v>
      </c>
      <c r="B156" s="2" t="s">
        <v>20</v>
      </c>
      <c r="C156" s="2" t="s">
        <v>21</v>
      </c>
      <c r="D156" s="2" t="s">
        <v>16</v>
      </c>
      <c r="E156" s="2">
        <f t="shared" si="1"/>
        <v>2406</v>
      </c>
      <c r="F156" s="2">
        <f t="shared" si="2"/>
        <v>72.18</v>
      </c>
      <c r="G156" s="2">
        <f t="shared" si="3"/>
        <v>144.36</v>
      </c>
      <c r="H156" s="2">
        <f t="shared" si="4"/>
        <v>10</v>
      </c>
      <c r="I156" s="2">
        <f t="shared" si="5"/>
        <v>4015</v>
      </c>
    </row>
    <row r="157" ht="15.75" customHeight="1">
      <c r="A157" s="3">
        <v>44946.0</v>
      </c>
      <c r="B157" s="2" t="s">
        <v>20</v>
      </c>
      <c r="C157" s="2" t="s">
        <v>23</v>
      </c>
      <c r="D157" s="2" t="s">
        <v>19</v>
      </c>
      <c r="E157" s="2">
        <f t="shared" si="1"/>
        <v>2710</v>
      </c>
      <c r="F157" s="2">
        <f t="shared" si="2"/>
        <v>271</v>
      </c>
      <c r="G157" s="2">
        <f t="shared" si="3"/>
        <v>509.48</v>
      </c>
      <c r="H157" s="2">
        <f t="shared" si="4"/>
        <v>43</v>
      </c>
      <c r="I157" s="2">
        <f t="shared" si="5"/>
        <v>2902</v>
      </c>
    </row>
    <row r="158" ht="15.75" customHeight="1">
      <c r="A158" s="3">
        <v>44946.0</v>
      </c>
      <c r="B158" s="2" t="s">
        <v>26</v>
      </c>
      <c r="C158" s="2" t="s">
        <v>27</v>
      </c>
      <c r="D158" s="2" t="s">
        <v>32</v>
      </c>
      <c r="E158" s="2">
        <f t="shared" si="1"/>
        <v>11409</v>
      </c>
      <c r="F158" s="2">
        <f t="shared" si="2"/>
        <v>342.27</v>
      </c>
      <c r="G158" s="2">
        <f t="shared" si="3"/>
        <v>554.4774</v>
      </c>
      <c r="H158" s="2">
        <f t="shared" si="4"/>
        <v>62</v>
      </c>
      <c r="I158" s="2">
        <f t="shared" si="5"/>
        <v>2165</v>
      </c>
    </row>
    <row r="159" ht="15.75" customHeight="1">
      <c r="A159" s="3">
        <v>44946.0</v>
      </c>
      <c r="B159" s="2" t="s">
        <v>26</v>
      </c>
      <c r="C159" s="2" t="s">
        <v>31</v>
      </c>
      <c r="D159" s="2" t="s">
        <v>18</v>
      </c>
      <c r="E159" s="2">
        <f t="shared" si="1"/>
        <v>14389</v>
      </c>
      <c r="F159" s="2">
        <f t="shared" si="2"/>
        <v>1007.23</v>
      </c>
      <c r="G159" s="2">
        <f t="shared" si="3"/>
        <v>1943.9539</v>
      </c>
      <c r="H159" s="2">
        <f t="shared" si="4"/>
        <v>101</v>
      </c>
      <c r="I159" s="2">
        <f t="shared" si="5"/>
        <v>880</v>
      </c>
    </row>
    <row r="160" ht="15.75" customHeight="1">
      <c r="A160" s="3">
        <v>44946.0</v>
      </c>
      <c r="B160" s="2" t="s">
        <v>33</v>
      </c>
      <c r="C160" s="2" t="s">
        <v>34</v>
      </c>
      <c r="D160" s="2" t="s">
        <v>24</v>
      </c>
      <c r="E160" s="2">
        <f t="shared" si="1"/>
        <v>2699</v>
      </c>
      <c r="F160" s="2">
        <f t="shared" si="2"/>
        <v>215.92</v>
      </c>
      <c r="G160" s="2">
        <f t="shared" si="3"/>
        <v>0</v>
      </c>
      <c r="H160" s="2">
        <f t="shared" si="4"/>
        <v>37</v>
      </c>
      <c r="I160" s="2">
        <f t="shared" si="5"/>
        <v>2883</v>
      </c>
    </row>
    <row r="161" ht="15.75" customHeight="1">
      <c r="A161" s="3">
        <v>44946.0</v>
      </c>
      <c r="B161" s="2" t="s">
        <v>33</v>
      </c>
      <c r="C161" s="2" t="s">
        <v>35</v>
      </c>
      <c r="D161" s="2" t="s">
        <v>25</v>
      </c>
      <c r="E161" s="2">
        <f t="shared" si="1"/>
        <v>4079</v>
      </c>
      <c r="F161" s="2">
        <f t="shared" si="2"/>
        <v>163.16</v>
      </c>
      <c r="G161" s="2">
        <f t="shared" si="3"/>
        <v>0</v>
      </c>
      <c r="H161" s="2">
        <f t="shared" si="4"/>
        <v>18</v>
      </c>
      <c r="I161" s="2">
        <f t="shared" si="5"/>
        <v>507</v>
      </c>
    </row>
    <row r="162" ht="15.75" customHeight="1">
      <c r="A162" s="3">
        <v>44947.0</v>
      </c>
      <c r="B162" s="2" t="s">
        <v>14</v>
      </c>
      <c r="C162" s="2" t="s">
        <v>15</v>
      </c>
      <c r="D162" s="2" t="s">
        <v>24</v>
      </c>
      <c r="E162" s="2">
        <f t="shared" si="1"/>
        <v>10889</v>
      </c>
      <c r="F162" s="2">
        <f t="shared" si="2"/>
        <v>435.56</v>
      </c>
      <c r="G162" s="2">
        <f t="shared" si="3"/>
        <v>287.4696</v>
      </c>
      <c r="H162" s="2">
        <f t="shared" si="4"/>
        <v>65</v>
      </c>
      <c r="I162" s="2">
        <f t="shared" si="5"/>
        <v>4709</v>
      </c>
    </row>
    <row r="163" ht="15.75" customHeight="1">
      <c r="A163" s="3">
        <v>44947.0</v>
      </c>
      <c r="B163" s="2" t="s">
        <v>14</v>
      </c>
      <c r="C163" s="2" t="s">
        <v>17</v>
      </c>
      <c r="D163" s="2" t="s">
        <v>30</v>
      </c>
      <c r="E163" s="2">
        <f t="shared" si="1"/>
        <v>5364</v>
      </c>
      <c r="F163" s="2">
        <f t="shared" si="2"/>
        <v>107.28</v>
      </c>
      <c r="G163" s="2">
        <f t="shared" si="3"/>
        <v>161.9928</v>
      </c>
      <c r="H163" s="2">
        <f t="shared" si="4"/>
        <v>14</v>
      </c>
      <c r="I163" s="2">
        <f t="shared" si="5"/>
        <v>3733</v>
      </c>
    </row>
    <row r="164" ht="15.75" customHeight="1">
      <c r="A164" s="3">
        <v>44947.0</v>
      </c>
      <c r="B164" s="2" t="s">
        <v>20</v>
      </c>
      <c r="C164" s="2" t="s">
        <v>21</v>
      </c>
      <c r="D164" s="2" t="s">
        <v>18</v>
      </c>
      <c r="E164" s="2">
        <f t="shared" si="1"/>
        <v>3600</v>
      </c>
      <c r="F164" s="2">
        <f t="shared" si="2"/>
        <v>108</v>
      </c>
      <c r="G164" s="2">
        <f t="shared" si="3"/>
        <v>135</v>
      </c>
      <c r="H164" s="2">
        <f t="shared" si="4"/>
        <v>13</v>
      </c>
      <c r="I164" s="2">
        <f t="shared" si="5"/>
        <v>1907</v>
      </c>
    </row>
    <row r="165" ht="15.75" customHeight="1">
      <c r="A165" s="3">
        <v>44947.0</v>
      </c>
      <c r="B165" s="2" t="s">
        <v>20</v>
      </c>
      <c r="C165" s="2" t="s">
        <v>23</v>
      </c>
      <c r="D165" s="2" t="s">
        <v>24</v>
      </c>
      <c r="E165" s="2">
        <f t="shared" si="1"/>
        <v>2049</v>
      </c>
      <c r="F165" s="2">
        <f t="shared" si="2"/>
        <v>143.43</v>
      </c>
      <c r="G165" s="2">
        <f t="shared" si="3"/>
        <v>172.116</v>
      </c>
      <c r="H165" s="2">
        <f t="shared" si="4"/>
        <v>10</v>
      </c>
      <c r="I165" s="2">
        <f t="shared" si="5"/>
        <v>4555</v>
      </c>
    </row>
    <row r="166" ht="15.75" customHeight="1">
      <c r="A166" s="3">
        <v>44947.0</v>
      </c>
      <c r="B166" s="2" t="s">
        <v>26</v>
      </c>
      <c r="C166" s="2" t="s">
        <v>27</v>
      </c>
      <c r="D166" s="2" t="s">
        <v>24</v>
      </c>
      <c r="E166" s="2">
        <f t="shared" si="1"/>
        <v>14260</v>
      </c>
      <c r="F166" s="2">
        <f t="shared" si="2"/>
        <v>1426</v>
      </c>
      <c r="G166" s="2">
        <f t="shared" si="3"/>
        <v>1839.54</v>
      </c>
      <c r="H166" s="2">
        <f t="shared" si="4"/>
        <v>86</v>
      </c>
      <c r="I166" s="2">
        <f t="shared" si="5"/>
        <v>2894</v>
      </c>
    </row>
    <row r="167" ht="15.75" customHeight="1">
      <c r="A167" s="3">
        <v>44947.0</v>
      </c>
      <c r="B167" s="2" t="s">
        <v>26</v>
      </c>
      <c r="C167" s="2" t="s">
        <v>31</v>
      </c>
      <c r="D167" s="2" t="s">
        <v>19</v>
      </c>
      <c r="E167" s="2">
        <f t="shared" si="1"/>
        <v>9974</v>
      </c>
      <c r="F167" s="2">
        <f t="shared" si="2"/>
        <v>299.22</v>
      </c>
      <c r="G167" s="2">
        <f t="shared" si="3"/>
        <v>146.6178</v>
      </c>
      <c r="H167" s="2">
        <f t="shared" si="4"/>
        <v>39</v>
      </c>
      <c r="I167" s="2">
        <f t="shared" si="5"/>
        <v>846</v>
      </c>
    </row>
    <row r="168" ht="15.75" customHeight="1">
      <c r="A168" s="3">
        <v>44947.0</v>
      </c>
      <c r="B168" s="2" t="s">
        <v>33</v>
      </c>
      <c r="C168" s="2" t="s">
        <v>34</v>
      </c>
      <c r="D168" s="2" t="s">
        <v>18</v>
      </c>
      <c r="E168" s="2">
        <f t="shared" si="1"/>
        <v>4680</v>
      </c>
      <c r="F168" s="2">
        <f t="shared" si="2"/>
        <v>140.4</v>
      </c>
      <c r="G168" s="2">
        <f t="shared" si="3"/>
        <v>0</v>
      </c>
      <c r="H168" s="2">
        <f t="shared" si="4"/>
        <v>22</v>
      </c>
      <c r="I168" s="2">
        <f t="shared" si="5"/>
        <v>3357</v>
      </c>
    </row>
    <row r="169" ht="15.75" customHeight="1">
      <c r="A169" s="3">
        <v>44947.0</v>
      </c>
      <c r="B169" s="2" t="s">
        <v>33</v>
      </c>
      <c r="C169" s="2" t="s">
        <v>35</v>
      </c>
      <c r="D169" s="2" t="s">
        <v>24</v>
      </c>
      <c r="E169" s="2">
        <f t="shared" si="1"/>
        <v>5559</v>
      </c>
      <c r="F169" s="2">
        <f t="shared" si="2"/>
        <v>389.13</v>
      </c>
      <c r="G169" s="2">
        <f t="shared" si="3"/>
        <v>0</v>
      </c>
      <c r="H169" s="2">
        <f t="shared" si="4"/>
        <v>62</v>
      </c>
      <c r="I169" s="2">
        <f t="shared" si="5"/>
        <v>150</v>
      </c>
    </row>
    <row r="170" ht="15.75" customHeight="1">
      <c r="A170" s="3">
        <v>44948.0</v>
      </c>
      <c r="B170" s="2" t="s">
        <v>14</v>
      </c>
      <c r="C170" s="2" t="s">
        <v>15</v>
      </c>
      <c r="D170" s="2" t="s">
        <v>30</v>
      </c>
      <c r="E170" s="2">
        <f t="shared" si="1"/>
        <v>8715</v>
      </c>
      <c r="F170" s="2">
        <f t="shared" si="2"/>
        <v>261.45</v>
      </c>
      <c r="G170" s="2">
        <f t="shared" si="3"/>
        <v>162.099</v>
      </c>
      <c r="H170" s="2">
        <f t="shared" si="4"/>
        <v>24</v>
      </c>
      <c r="I170" s="2">
        <f t="shared" si="5"/>
        <v>199</v>
      </c>
    </row>
    <row r="171" ht="15.75" customHeight="1">
      <c r="A171" s="3">
        <v>44948.0</v>
      </c>
      <c r="B171" s="2" t="s">
        <v>14</v>
      </c>
      <c r="C171" s="2" t="s">
        <v>17</v>
      </c>
      <c r="D171" s="2" t="s">
        <v>19</v>
      </c>
      <c r="E171" s="2">
        <f t="shared" si="1"/>
        <v>5822</v>
      </c>
      <c r="F171" s="2">
        <f t="shared" si="2"/>
        <v>582.2</v>
      </c>
      <c r="G171" s="2">
        <f t="shared" si="3"/>
        <v>180.482</v>
      </c>
      <c r="H171" s="2">
        <f t="shared" si="4"/>
        <v>70</v>
      </c>
      <c r="I171" s="2">
        <f t="shared" si="5"/>
        <v>3211</v>
      </c>
    </row>
    <row r="172" ht="15.75" customHeight="1">
      <c r="A172" s="3">
        <v>44948.0</v>
      </c>
      <c r="B172" s="2" t="s">
        <v>20</v>
      </c>
      <c r="C172" s="2" t="s">
        <v>21</v>
      </c>
      <c r="D172" s="2" t="s">
        <v>24</v>
      </c>
      <c r="E172" s="2">
        <f t="shared" si="1"/>
        <v>2989</v>
      </c>
      <c r="F172" s="2">
        <f t="shared" si="2"/>
        <v>179.34</v>
      </c>
      <c r="G172" s="2">
        <f t="shared" si="3"/>
        <v>322.812</v>
      </c>
      <c r="H172" s="2">
        <f t="shared" si="4"/>
        <v>20</v>
      </c>
      <c r="I172" s="2">
        <f t="shared" si="5"/>
        <v>350</v>
      </c>
    </row>
    <row r="173" ht="15.75" customHeight="1">
      <c r="A173" s="3">
        <v>44948.0</v>
      </c>
      <c r="B173" s="2" t="s">
        <v>20</v>
      </c>
      <c r="C173" s="2" t="s">
        <v>23</v>
      </c>
      <c r="D173" s="2" t="s">
        <v>28</v>
      </c>
      <c r="E173" s="2">
        <f t="shared" si="1"/>
        <v>3004</v>
      </c>
      <c r="F173" s="2">
        <f t="shared" si="2"/>
        <v>120.16</v>
      </c>
      <c r="G173" s="2">
        <f t="shared" si="3"/>
        <v>224.6992</v>
      </c>
      <c r="H173" s="2">
        <f t="shared" si="4"/>
        <v>8</v>
      </c>
      <c r="I173" s="2">
        <f t="shared" si="5"/>
        <v>2323</v>
      </c>
    </row>
    <row r="174" ht="15.75" customHeight="1">
      <c r="A174" s="3">
        <v>44948.0</v>
      </c>
      <c r="B174" s="2" t="s">
        <v>26</v>
      </c>
      <c r="C174" s="2" t="s">
        <v>27</v>
      </c>
      <c r="D174" s="2" t="s">
        <v>16</v>
      </c>
      <c r="E174" s="2">
        <f t="shared" si="1"/>
        <v>14725</v>
      </c>
      <c r="F174" s="2">
        <f t="shared" si="2"/>
        <v>1030.75</v>
      </c>
      <c r="G174" s="2">
        <f t="shared" si="3"/>
        <v>1082.2875</v>
      </c>
      <c r="H174" s="2">
        <f t="shared" si="4"/>
        <v>165</v>
      </c>
      <c r="I174" s="2">
        <f t="shared" si="5"/>
        <v>1003</v>
      </c>
    </row>
    <row r="175" ht="15.75" customHeight="1">
      <c r="A175" s="3">
        <v>44948.0</v>
      </c>
      <c r="B175" s="2" t="s">
        <v>26</v>
      </c>
      <c r="C175" s="2" t="s">
        <v>31</v>
      </c>
      <c r="D175" s="2" t="s">
        <v>22</v>
      </c>
      <c r="E175" s="2">
        <f t="shared" si="1"/>
        <v>11991</v>
      </c>
      <c r="F175" s="2">
        <f t="shared" si="2"/>
        <v>359.73</v>
      </c>
      <c r="G175" s="2">
        <f t="shared" si="3"/>
        <v>503.622</v>
      </c>
      <c r="H175" s="2">
        <f t="shared" si="4"/>
        <v>43</v>
      </c>
      <c r="I175" s="2">
        <f t="shared" si="5"/>
        <v>4319</v>
      </c>
    </row>
    <row r="176" ht="15.75" customHeight="1">
      <c r="A176" s="3">
        <v>44948.0</v>
      </c>
      <c r="B176" s="2" t="s">
        <v>33</v>
      </c>
      <c r="C176" s="2" t="s">
        <v>34</v>
      </c>
      <c r="D176" s="2" t="s">
        <v>16</v>
      </c>
      <c r="E176" s="2">
        <f t="shared" si="1"/>
        <v>5458</v>
      </c>
      <c r="F176" s="2">
        <f t="shared" si="2"/>
        <v>436.64</v>
      </c>
      <c r="G176" s="2">
        <f t="shared" si="3"/>
        <v>0</v>
      </c>
      <c r="H176" s="2">
        <f t="shared" si="4"/>
        <v>52</v>
      </c>
      <c r="I176" s="2">
        <f t="shared" si="5"/>
        <v>4545</v>
      </c>
    </row>
    <row r="177" ht="15.75" customHeight="1">
      <c r="A177" s="3">
        <v>44948.0</v>
      </c>
      <c r="B177" s="2" t="s">
        <v>33</v>
      </c>
      <c r="C177" s="2" t="s">
        <v>35</v>
      </c>
      <c r="D177" s="2" t="s">
        <v>24</v>
      </c>
      <c r="E177" s="2">
        <f t="shared" si="1"/>
        <v>5829</v>
      </c>
      <c r="F177" s="2">
        <f t="shared" si="2"/>
        <v>582.9</v>
      </c>
      <c r="G177" s="2">
        <f t="shared" si="3"/>
        <v>0</v>
      </c>
      <c r="H177" s="2">
        <f t="shared" si="4"/>
        <v>70</v>
      </c>
      <c r="I177" s="2">
        <f t="shared" si="5"/>
        <v>1282</v>
      </c>
    </row>
    <row r="178" ht="15.75" customHeight="1">
      <c r="A178" s="3">
        <v>44949.0</v>
      </c>
      <c r="B178" s="2" t="s">
        <v>14</v>
      </c>
      <c r="C178" s="2" t="s">
        <v>15</v>
      </c>
      <c r="D178" s="2" t="s">
        <v>28</v>
      </c>
      <c r="E178" s="2">
        <f t="shared" si="1"/>
        <v>6720</v>
      </c>
      <c r="F178" s="2">
        <f t="shared" si="2"/>
        <v>403.2</v>
      </c>
      <c r="G178" s="2">
        <f t="shared" si="3"/>
        <v>181.44</v>
      </c>
      <c r="H178" s="2">
        <f t="shared" si="4"/>
        <v>73</v>
      </c>
      <c r="I178" s="2">
        <f t="shared" si="5"/>
        <v>1219</v>
      </c>
    </row>
    <row r="179" ht="15.75" customHeight="1">
      <c r="A179" s="3">
        <v>44949.0</v>
      </c>
      <c r="B179" s="2" t="s">
        <v>14</v>
      </c>
      <c r="C179" s="2" t="s">
        <v>17</v>
      </c>
      <c r="D179" s="2" t="s">
        <v>24</v>
      </c>
      <c r="E179" s="2">
        <f t="shared" si="1"/>
        <v>9902</v>
      </c>
      <c r="F179" s="2">
        <f t="shared" si="2"/>
        <v>990.2</v>
      </c>
      <c r="G179" s="2">
        <f t="shared" si="3"/>
        <v>940.69</v>
      </c>
      <c r="H179" s="2">
        <f t="shared" si="4"/>
        <v>149</v>
      </c>
      <c r="I179" s="2">
        <f t="shared" si="5"/>
        <v>3760</v>
      </c>
    </row>
    <row r="180" ht="15.75" customHeight="1">
      <c r="A180" s="3">
        <v>44949.0</v>
      </c>
      <c r="B180" s="2" t="s">
        <v>20</v>
      </c>
      <c r="C180" s="2" t="s">
        <v>21</v>
      </c>
      <c r="D180" s="2" t="s">
        <v>22</v>
      </c>
      <c r="E180" s="2">
        <f t="shared" si="1"/>
        <v>2475</v>
      </c>
      <c r="F180" s="2">
        <f t="shared" si="2"/>
        <v>247.5</v>
      </c>
      <c r="G180" s="2">
        <f t="shared" si="3"/>
        <v>185.625</v>
      </c>
      <c r="H180" s="2">
        <f t="shared" si="4"/>
        <v>25</v>
      </c>
      <c r="I180" s="2">
        <f t="shared" si="5"/>
        <v>4362</v>
      </c>
    </row>
    <row r="181" ht="15.75" customHeight="1">
      <c r="A181" s="3">
        <v>44949.0</v>
      </c>
      <c r="B181" s="2" t="s">
        <v>20</v>
      </c>
      <c r="C181" s="2" t="s">
        <v>23</v>
      </c>
      <c r="D181" s="2" t="s">
        <v>16</v>
      </c>
      <c r="E181" s="2">
        <f t="shared" si="1"/>
        <v>4014</v>
      </c>
      <c r="F181" s="2">
        <f t="shared" si="2"/>
        <v>401.4</v>
      </c>
      <c r="G181" s="2">
        <f t="shared" si="3"/>
        <v>349.218</v>
      </c>
      <c r="H181" s="2">
        <f t="shared" si="4"/>
        <v>40</v>
      </c>
      <c r="I181" s="2">
        <f t="shared" si="5"/>
        <v>143</v>
      </c>
    </row>
    <row r="182" ht="15.75" customHeight="1">
      <c r="A182" s="3">
        <v>44949.0</v>
      </c>
      <c r="B182" s="2" t="s">
        <v>26</v>
      </c>
      <c r="C182" s="2" t="s">
        <v>27</v>
      </c>
      <c r="D182" s="2" t="s">
        <v>32</v>
      </c>
      <c r="E182" s="2">
        <f t="shared" si="1"/>
        <v>8858</v>
      </c>
      <c r="F182" s="2">
        <f t="shared" si="2"/>
        <v>620.06</v>
      </c>
      <c r="G182" s="2">
        <f t="shared" si="3"/>
        <v>626.2606</v>
      </c>
      <c r="H182" s="2">
        <f t="shared" si="4"/>
        <v>87</v>
      </c>
      <c r="I182" s="2">
        <f t="shared" si="5"/>
        <v>2231</v>
      </c>
    </row>
    <row r="183" ht="15.75" customHeight="1">
      <c r="A183" s="3">
        <v>44949.0</v>
      </c>
      <c r="B183" s="2" t="s">
        <v>26</v>
      </c>
      <c r="C183" s="2" t="s">
        <v>31</v>
      </c>
      <c r="D183" s="2" t="s">
        <v>32</v>
      </c>
      <c r="E183" s="2">
        <f t="shared" si="1"/>
        <v>8783</v>
      </c>
      <c r="F183" s="2">
        <f t="shared" si="2"/>
        <v>702.64</v>
      </c>
      <c r="G183" s="2">
        <f t="shared" si="3"/>
        <v>1060.9864</v>
      </c>
      <c r="H183" s="2">
        <f t="shared" si="4"/>
        <v>105</v>
      </c>
      <c r="I183" s="2">
        <f t="shared" si="5"/>
        <v>1813</v>
      </c>
    </row>
    <row r="184" ht="15.75" customHeight="1">
      <c r="A184" s="3">
        <v>44949.0</v>
      </c>
      <c r="B184" s="2" t="s">
        <v>33</v>
      </c>
      <c r="C184" s="2" t="s">
        <v>34</v>
      </c>
      <c r="D184" s="2" t="s">
        <v>24</v>
      </c>
      <c r="E184" s="2">
        <f t="shared" si="1"/>
        <v>5632</v>
      </c>
      <c r="F184" s="2">
        <f t="shared" si="2"/>
        <v>394.24</v>
      </c>
      <c r="G184" s="2">
        <f t="shared" si="3"/>
        <v>0</v>
      </c>
      <c r="H184" s="2">
        <f t="shared" si="4"/>
        <v>59</v>
      </c>
      <c r="I184" s="2">
        <f t="shared" si="5"/>
        <v>4182</v>
      </c>
    </row>
    <row r="185" ht="15.75" customHeight="1">
      <c r="A185" s="3">
        <v>44949.0</v>
      </c>
      <c r="B185" s="2" t="s">
        <v>33</v>
      </c>
      <c r="C185" s="2" t="s">
        <v>35</v>
      </c>
      <c r="D185" s="2" t="s">
        <v>25</v>
      </c>
      <c r="E185" s="2">
        <f t="shared" si="1"/>
        <v>3341</v>
      </c>
      <c r="F185" s="2">
        <f t="shared" si="2"/>
        <v>233.87</v>
      </c>
      <c r="G185" s="2">
        <f t="shared" si="3"/>
        <v>0</v>
      </c>
      <c r="H185" s="2">
        <f t="shared" si="4"/>
        <v>33</v>
      </c>
      <c r="I185" s="2">
        <f t="shared" si="5"/>
        <v>2279</v>
      </c>
    </row>
    <row r="186" ht="15.75" customHeight="1">
      <c r="A186" s="3">
        <v>44950.0</v>
      </c>
      <c r="B186" s="2" t="s">
        <v>14</v>
      </c>
      <c r="C186" s="2" t="s">
        <v>15</v>
      </c>
      <c r="D186" s="2" t="s">
        <v>30</v>
      </c>
      <c r="E186" s="2">
        <f t="shared" si="1"/>
        <v>10755</v>
      </c>
      <c r="F186" s="2">
        <f t="shared" si="2"/>
        <v>322.65</v>
      </c>
      <c r="G186" s="2">
        <f t="shared" si="3"/>
        <v>338.7825</v>
      </c>
      <c r="H186" s="2">
        <f t="shared" si="4"/>
        <v>32</v>
      </c>
      <c r="I186" s="2">
        <f t="shared" si="5"/>
        <v>2507</v>
      </c>
    </row>
    <row r="187" ht="15.75" customHeight="1">
      <c r="A187" s="3">
        <v>44950.0</v>
      </c>
      <c r="B187" s="2" t="s">
        <v>14</v>
      </c>
      <c r="C187" s="2" t="s">
        <v>17</v>
      </c>
      <c r="D187" s="2" t="s">
        <v>32</v>
      </c>
      <c r="E187" s="2">
        <f t="shared" si="1"/>
        <v>9937</v>
      </c>
      <c r="F187" s="2">
        <f t="shared" si="2"/>
        <v>993.7</v>
      </c>
      <c r="G187" s="2">
        <f t="shared" si="3"/>
        <v>526.661</v>
      </c>
      <c r="H187" s="2">
        <f t="shared" si="4"/>
        <v>79</v>
      </c>
      <c r="I187" s="2">
        <f t="shared" si="5"/>
        <v>3857</v>
      </c>
    </row>
    <row r="188" ht="15.75" customHeight="1">
      <c r="A188" s="3">
        <v>44950.0</v>
      </c>
      <c r="B188" s="2" t="s">
        <v>20</v>
      </c>
      <c r="C188" s="2" t="s">
        <v>21</v>
      </c>
      <c r="D188" s="2" t="s">
        <v>32</v>
      </c>
      <c r="E188" s="2">
        <f t="shared" si="1"/>
        <v>2076</v>
      </c>
      <c r="F188" s="2">
        <f t="shared" si="2"/>
        <v>207.6</v>
      </c>
      <c r="G188" s="2">
        <f t="shared" si="3"/>
        <v>278.184</v>
      </c>
      <c r="H188" s="2">
        <f t="shared" si="4"/>
        <v>29</v>
      </c>
      <c r="I188" s="2">
        <f t="shared" si="5"/>
        <v>4222</v>
      </c>
    </row>
    <row r="189" ht="15.75" customHeight="1">
      <c r="A189" s="3">
        <v>44950.0</v>
      </c>
      <c r="B189" s="2" t="s">
        <v>20</v>
      </c>
      <c r="C189" s="2" t="s">
        <v>23</v>
      </c>
      <c r="D189" s="2" t="s">
        <v>24</v>
      </c>
      <c r="E189" s="2">
        <f t="shared" si="1"/>
        <v>2114</v>
      </c>
      <c r="F189" s="2">
        <f t="shared" si="2"/>
        <v>42.28</v>
      </c>
      <c r="G189" s="2">
        <f t="shared" si="3"/>
        <v>61.306</v>
      </c>
      <c r="H189" s="2">
        <f t="shared" si="4"/>
        <v>3</v>
      </c>
      <c r="I189" s="2">
        <f t="shared" si="5"/>
        <v>2182</v>
      </c>
    </row>
    <row r="190" ht="15.75" customHeight="1">
      <c r="A190" s="3">
        <v>44950.0</v>
      </c>
      <c r="B190" s="2" t="s">
        <v>26</v>
      </c>
      <c r="C190" s="2" t="s">
        <v>27</v>
      </c>
      <c r="D190" s="2" t="s">
        <v>30</v>
      </c>
      <c r="E190" s="2">
        <f t="shared" si="1"/>
        <v>9261</v>
      </c>
      <c r="F190" s="2">
        <f t="shared" si="2"/>
        <v>833.49</v>
      </c>
      <c r="G190" s="2">
        <f t="shared" si="3"/>
        <v>433.4148</v>
      </c>
      <c r="H190" s="2">
        <f t="shared" si="4"/>
        <v>125</v>
      </c>
      <c r="I190" s="2">
        <f t="shared" si="5"/>
        <v>572</v>
      </c>
    </row>
    <row r="191" ht="15.75" customHeight="1">
      <c r="A191" s="3">
        <v>44950.0</v>
      </c>
      <c r="B191" s="2" t="s">
        <v>26</v>
      </c>
      <c r="C191" s="2" t="s">
        <v>31</v>
      </c>
      <c r="D191" s="2" t="s">
        <v>24</v>
      </c>
      <c r="E191" s="2">
        <f t="shared" si="1"/>
        <v>8082</v>
      </c>
      <c r="F191" s="2">
        <f t="shared" si="2"/>
        <v>323.28</v>
      </c>
      <c r="G191" s="2">
        <f t="shared" si="3"/>
        <v>429.9624</v>
      </c>
      <c r="H191" s="2">
        <f t="shared" si="4"/>
        <v>55</v>
      </c>
      <c r="I191" s="2">
        <f t="shared" si="5"/>
        <v>1314</v>
      </c>
    </row>
    <row r="192" ht="15.75" customHeight="1">
      <c r="A192" s="3">
        <v>44950.0</v>
      </c>
      <c r="B192" s="2" t="s">
        <v>33</v>
      </c>
      <c r="C192" s="2" t="s">
        <v>34</v>
      </c>
      <c r="D192" s="2" t="s">
        <v>19</v>
      </c>
      <c r="E192" s="2">
        <f t="shared" si="1"/>
        <v>2592</v>
      </c>
      <c r="F192" s="2">
        <f t="shared" si="2"/>
        <v>103.68</v>
      </c>
      <c r="G192" s="2">
        <f t="shared" si="3"/>
        <v>0</v>
      </c>
      <c r="H192" s="2">
        <f t="shared" si="4"/>
        <v>9</v>
      </c>
      <c r="I192" s="2">
        <f t="shared" si="5"/>
        <v>1099</v>
      </c>
    </row>
    <row r="193" ht="15.75" customHeight="1">
      <c r="A193" s="3">
        <v>44950.0</v>
      </c>
      <c r="B193" s="2" t="s">
        <v>33</v>
      </c>
      <c r="C193" s="2" t="s">
        <v>35</v>
      </c>
      <c r="D193" s="2" t="s">
        <v>28</v>
      </c>
      <c r="E193" s="2">
        <f t="shared" si="1"/>
        <v>5159</v>
      </c>
      <c r="F193" s="2">
        <f t="shared" si="2"/>
        <v>154.77</v>
      </c>
      <c r="G193" s="2">
        <f t="shared" si="3"/>
        <v>0</v>
      </c>
      <c r="H193" s="2">
        <f t="shared" si="4"/>
        <v>12</v>
      </c>
      <c r="I193" s="2">
        <f t="shared" si="5"/>
        <v>2778</v>
      </c>
    </row>
    <row r="194" ht="15.75" customHeight="1">
      <c r="A194" s="3">
        <v>44951.0</v>
      </c>
      <c r="B194" s="2" t="s">
        <v>14</v>
      </c>
      <c r="C194" s="2" t="s">
        <v>15</v>
      </c>
      <c r="D194" s="2" t="s">
        <v>22</v>
      </c>
      <c r="E194" s="2">
        <f t="shared" si="1"/>
        <v>7680</v>
      </c>
      <c r="F194" s="2">
        <f t="shared" si="2"/>
        <v>384</v>
      </c>
      <c r="G194" s="2">
        <f t="shared" si="3"/>
        <v>272.64</v>
      </c>
      <c r="H194" s="2">
        <f t="shared" si="4"/>
        <v>27</v>
      </c>
      <c r="I194" s="2">
        <f t="shared" si="5"/>
        <v>3705</v>
      </c>
    </row>
    <row r="195" ht="15.75" customHeight="1">
      <c r="A195" s="3">
        <v>44951.0</v>
      </c>
      <c r="B195" s="2" t="s">
        <v>14</v>
      </c>
      <c r="C195" s="2" t="s">
        <v>17</v>
      </c>
      <c r="D195" s="2" t="s">
        <v>16</v>
      </c>
      <c r="E195" s="2">
        <f t="shared" si="1"/>
        <v>6907</v>
      </c>
      <c r="F195" s="2">
        <f t="shared" si="2"/>
        <v>345.35</v>
      </c>
      <c r="G195" s="2">
        <f t="shared" si="3"/>
        <v>649.258</v>
      </c>
      <c r="H195" s="2">
        <f t="shared" si="4"/>
        <v>52</v>
      </c>
      <c r="I195" s="2">
        <f t="shared" si="5"/>
        <v>345</v>
      </c>
    </row>
    <row r="196" ht="15.75" customHeight="1">
      <c r="A196" s="3">
        <v>44951.0</v>
      </c>
      <c r="B196" s="2" t="s">
        <v>20</v>
      </c>
      <c r="C196" s="2" t="s">
        <v>21</v>
      </c>
      <c r="D196" s="2" t="s">
        <v>25</v>
      </c>
      <c r="E196" s="2">
        <f t="shared" si="1"/>
        <v>4232</v>
      </c>
      <c r="F196" s="2">
        <f t="shared" si="2"/>
        <v>423.2</v>
      </c>
      <c r="G196" s="2">
        <f t="shared" si="3"/>
        <v>804.08</v>
      </c>
      <c r="H196" s="2">
        <f t="shared" si="4"/>
        <v>30</v>
      </c>
      <c r="I196" s="2">
        <f t="shared" si="5"/>
        <v>2024</v>
      </c>
    </row>
    <row r="197" ht="15.75" customHeight="1">
      <c r="A197" s="3">
        <v>44951.0</v>
      </c>
      <c r="B197" s="2" t="s">
        <v>20</v>
      </c>
      <c r="C197" s="2" t="s">
        <v>23</v>
      </c>
      <c r="D197" s="2" t="s">
        <v>16</v>
      </c>
      <c r="E197" s="2">
        <f t="shared" si="1"/>
        <v>4989</v>
      </c>
      <c r="F197" s="2">
        <f t="shared" si="2"/>
        <v>99.78</v>
      </c>
      <c r="G197" s="2">
        <f t="shared" si="3"/>
        <v>192.5754</v>
      </c>
      <c r="H197" s="2">
        <f t="shared" si="4"/>
        <v>6</v>
      </c>
      <c r="I197" s="2">
        <f t="shared" si="5"/>
        <v>4734</v>
      </c>
    </row>
    <row r="198" ht="15.75" customHeight="1">
      <c r="A198" s="3">
        <v>44951.0</v>
      </c>
      <c r="B198" s="2" t="s">
        <v>26</v>
      </c>
      <c r="C198" s="2" t="s">
        <v>27</v>
      </c>
      <c r="D198" s="2" t="s">
        <v>19</v>
      </c>
      <c r="E198" s="2">
        <f t="shared" si="1"/>
        <v>11995</v>
      </c>
      <c r="F198" s="2">
        <f t="shared" si="2"/>
        <v>1199.5</v>
      </c>
      <c r="G198" s="2">
        <f t="shared" si="3"/>
        <v>1931.195</v>
      </c>
      <c r="H198" s="2">
        <f t="shared" si="4"/>
        <v>120</v>
      </c>
      <c r="I198" s="2">
        <f t="shared" si="5"/>
        <v>1155</v>
      </c>
    </row>
    <row r="199" ht="15.75" customHeight="1">
      <c r="A199" s="3">
        <v>44951.0</v>
      </c>
      <c r="B199" s="2" t="s">
        <v>26</v>
      </c>
      <c r="C199" s="2" t="s">
        <v>31</v>
      </c>
      <c r="D199" s="2" t="s">
        <v>24</v>
      </c>
      <c r="E199" s="2">
        <f t="shared" si="1"/>
        <v>11414</v>
      </c>
      <c r="F199" s="2">
        <f t="shared" si="2"/>
        <v>570.7</v>
      </c>
      <c r="G199" s="2">
        <f t="shared" si="3"/>
        <v>947.362</v>
      </c>
      <c r="H199" s="2">
        <f t="shared" si="4"/>
        <v>91</v>
      </c>
      <c r="I199" s="2">
        <f t="shared" si="5"/>
        <v>4599</v>
      </c>
    </row>
    <row r="200" ht="15.75" customHeight="1">
      <c r="A200" s="3">
        <v>44951.0</v>
      </c>
      <c r="B200" s="2" t="s">
        <v>33</v>
      </c>
      <c r="C200" s="2" t="s">
        <v>34</v>
      </c>
      <c r="D200" s="2" t="s">
        <v>28</v>
      </c>
      <c r="E200" s="2">
        <f t="shared" si="1"/>
        <v>3242</v>
      </c>
      <c r="F200" s="2">
        <f t="shared" si="2"/>
        <v>226.94</v>
      </c>
      <c r="G200" s="2">
        <f t="shared" si="3"/>
        <v>0</v>
      </c>
      <c r="H200" s="2">
        <f t="shared" si="4"/>
        <v>27</v>
      </c>
      <c r="I200" s="2">
        <f t="shared" si="5"/>
        <v>4018</v>
      </c>
    </row>
    <row r="201" ht="15.75" customHeight="1">
      <c r="A201" s="3">
        <v>44951.0</v>
      </c>
      <c r="B201" s="2" t="s">
        <v>33</v>
      </c>
      <c r="C201" s="2" t="s">
        <v>35</v>
      </c>
      <c r="D201" s="2" t="s">
        <v>16</v>
      </c>
      <c r="E201" s="2">
        <f t="shared" si="1"/>
        <v>4395</v>
      </c>
      <c r="F201" s="2">
        <f t="shared" si="2"/>
        <v>395.55</v>
      </c>
      <c r="G201" s="2">
        <f t="shared" si="3"/>
        <v>0</v>
      </c>
      <c r="H201" s="2">
        <f t="shared" si="4"/>
        <v>32</v>
      </c>
      <c r="I201" s="2">
        <f t="shared" si="5"/>
        <v>292</v>
      </c>
    </row>
    <row r="202" ht="15.75" customHeight="1">
      <c r="A202" s="3">
        <v>44952.0</v>
      </c>
      <c r="B202" s="2" t="s">
        <v>14</v>
      </c>
      <c r="C202" s="2" t="s">
        <v>15</v>
      </c>
      <c r="D202" s="2" t="s">
        <v>32</v>
      </c>
      <c r="E202" s="2">
        <f t="shared" si="1"/>
        <v>10426</v>
      </c>
      <c r="F202" s="2">
        <f t="shared" si="2"/>
        <v>312.78</v>
      </c>
      <c r="G202" s="2">
        <f t="shared" si="3"/>
        <v>425.3808</v>
      </c>
      <c r="H202" s="2">
        <f t="shared" si="4"/>
        <v>31</v>
      </c>
      <c r="I202" s="2">
        <f t="shared" si="5"/>
        <v>552</v>
      </c>
    </row>
    <row r="203" ht="15.75" customHeight="1">
      <c r="A203" s="3">
        <v>44952.0</v>
      </c>
      <c r="B203" s="2" t="s">
        <v>14</v>
      </c>
      <c r="C203" s="2" t="s">
        <v>17</v>
      </c>
      <c r="D203" s="2" t="s">
        <v>28</v>
      </c>
      <c r="E203" s="2">
        <f t="shared" si="1"/>
        <v>10074</v>
      </c>
      <c r="F203" s="2">
        <f t="shared" si="2"/>
        <v>805.92</v>
      </c>
      <c r="G203" s="2">
        <f t="shared" si="3"/>
        <v>1281.4128</v>
      </c>
      <c r="H203" s="2">
        <f t="shared" si="4"/>
        <v>145</v>
      </c>
      <c r="I203" s="2">
        <f t="shared" si="5"/>
        <v>2348</v>
      </c>
    </row>
    <row r="204" ht="15.75" customHeight="1">
      <c r="A204" s="3">
        <v>44952.0</v>
      </c>
      <c r="B204" s="2" t="s">
        <v>20</v>
      </c>
      <c r="C204" s="2" t="s">
        <v>21</v>
      </c>
      <c r="D204" s="2" t="s">
        <v>25</v>
      </c>
      <c r="E204" s="2">
        <f t="shared" si="1"/>
        <v>4019</v>
      </c>
      <c r="F204" s="2">
        <f t="shared" si="2"/>
        <v>160.76</v>
      </c>
      <c r="G204" s="2">
        <f t="shared" si="3"/>
        <v>279.7224</v>
      </c>
      <c r="H204" s="2">
        <f t="shared" si="4"/>
        <v>24</v>
      </c>
      <c r="I204" s="2">
        <f t="shared" si="5"/>
        <v>1224</v>
      </c>
    </row>
    <row r="205" ht="15.75" customHeight="1">
      <c r="A205" s="3">
        <v>44952.0</v>
      </c>
      <c r="B205" s="2" t="s">
        <v>20</v>
      </c>
      <c r="C205" s="2" t="s">
        <v>23</v>
      </c>
      <c r="D205" s="2" t="s">
        <v>24</v>
      </c>
      <c r="E205" s="2">
        <f t="shared" si="1"/>
        <v>3050</v>
      </c>
      <c r="F205" s="2">
        <f t="shared" si="2"/>
        <v>61</v>
      </c>
      <c r="G205" s="2">
        <f t="shared" si="3"/>
        <v>98.21</v>
      </c>
      <c r="H205" s="2">
        <f t="shared" si="4"/>
        <v>5</v>
      </c>
      <c r="I205" s="2">
        <f t="shared" si="5"/>
        <v>552</v>
      </c>
    </row>
    <row r="206" ht="15.75" customHeight="1">
      <c r="A206" s="3">
        <v>44952.0</v>
      </c>
      <c r="B206" s="2" t="s">
        <v>26</v>
      </c>
      <c r="C206" s="2" t="s">
        <v>27</v>
      </c>
      <c r="D206" s="2" t="s">
        <v>22</v>
      </c>
      <c r="E206" s="2">
        <f t="shared" si="1"/>
        <v>11706</v>
      </c>
      <c r="F206" s="2">
        <f t="shared" si="2"/>
        <v>585.3</v>
      </c>
      <c r="G206" s="2">
        <f t="shared" si="3"/>
        <v>866.244</v>
      </c>
      <c r="H206" s="2">
        <f t="shared" si="4"/>
        <v>100</v>
      </c>
      <c r="I206" s="2">
        <f t="shared" si="5"/>
        <v>2233</v>
      </c>
    </row>
    <row r="207" ht="15.75" customHeight="1">
      <c r="A207" s="3">
        <v>44952.0</v>
      </c>
      <c r="B207" s="2" t="s">
        <v>26</v>
      </c>
      <c r="C207" s="2" t="s">
        <v>31</v>
      </c>
      <c r="D207" s="2" t="s">
        <v>30</v>
      </c>
      <c r="E207" s="2">
        <f t="shared" si="1"/>
        <v>11379</v>
      </c>
      <c r="F207" s="2">
        <f t="shared" si="2"/>
        <v>910.32</v>
      </c>
      <c r="G207" s="2">
        <f t="shared" si="3"/>
        <v>1301.7576</v>
      </c>
      <c r="H207" s="2">
        <f t="shared" si="4"/>
        <v>55</v>
      </c>
      <c r="I207" s="2">
        <f t="shared" si="5"/>
        <v>547</v>
      </c>
    </row>
    <row r="208" ht="15.75" customHeight="1">
      <c r="A208" s="3">
        <v>44952.0</v>
      </c>
      <c r="B208" s="2" t="s">
        <v>33</v>
      </c>
      <c r="C208" s="2" t="s">
        <v>34</v>
      </c>
      <c r="D208" s="2" t="s">
        <v>18</v>
      </c>
      <c r="E208" s="2">
        <f t="shared" si="1"/>
        <v>2935</v>
      </c>
      <c r="F208" s="2">
        <f t="shared" si="2"/>
        <v>117.4</v>
      </c>
      <c r="G208" s="2">
        <f t="shared" si="3"/>
        <v>0</v>
      </c>
      <c r="H208" s="2">
        <f t="shared" si="4"/>
        <v>11</v>
      </c>
      <c r="I208" s="2">
        <f t="shared" si="5"/>
        <v>524</v>
      </c>
    </row>
    <row r="209" ht="15.75" customHeight="1">
      <c r="A209" s="3">
        <v>44952.0</v>
      </c>
      <c r="B209" s="2" t="s">
        <v>33</v>
      </c>
      <c r="C209" s="2" t="s">
        <v>35</v>
      </c>
      <c r="D209" s="2" t="s">
        <v>13</v>
      </c>
      <c r="E209" s="2">
        <f t="shared" si="1"/>
        <v>3320</v>
      </c>
      <c r="F209" s="2">
        <f t="shared" si="2"/>
        <v>199.2</v>
      </c>
      <c r="G209" s="2">
        <f t="shared" si="3"/>
        <v>0</v>
      </c>
      <c r="H209" s="2">
        <f t="shared" si="4"/>
        <v>12</v>
      </c>
      <c r="I209" s="2">
        <f t="shared" si="5"/>
        <v>1724</v>
      </c>
    </row>
    <row r="210" ht="15.75" customHeight="1">
      <c r="A210" s="3">
        <v>44953.0</v>
      </c>
      <c r="B210" s="2" t="s">
        <v>14</v>
      </c>
      <c r="C210" s="2" t="s">
        <v>15</v>
      </c>
      <c r="D210" s="2" t="s">
        <v>13</v>
      </c>
      <c r="E210" s="2">
        <f t="shared" si="1"/>
        <v>5535</v>
      </c>
      <c r="F210" s="2">
        <f t="shared" si="2"/>
        <v>276.75</v>
      </c>
      <c r="G210" s="2">
        <f t="shared" si="3"/>
        <v>213.0975</v>
      </c>
      <c r="H210" s="2">
        <f t="shared" si="4"/>
        <v>50</v>
      </c>
      <c r="I210" s="2">
        <f t="shared" si="5"/>
        <v>2353</v>
      </c>
    </row>
    <row r="211" ht="15.75" customHeight="1">
      <c r="A211" s="3">
        <v>44953.0</v>
      </c>
      <c r="B211" s="2" t="s">
        <v>14</v>
      </c>
      <c r="C211" s="2" t="s">
        <v>17</v>
      </c>
      <c r="D211" s="2" t="s">
        <v>18</v>
      </c>
      <c r="E211" s="2">
        <f t="shared" si="1"/>
        <v>10848</v>
      </c>
      <c r="F211" s="2">
        <f t="shared" si="2"/>
        <v>542.4</v>
      </c>
      <c r="G211" s="2">
        <f t="shared" si="3"/>
        <v>216.96</v>
      </c>
      <c r="H211" s="2">
        <f t="shared" si="4"/>
        <v>98</v>
      </c>
      <c r="I211" s="2">
        <f t="shared" si="5"/>
        <v>3528</v>
      </c>
    </row>
    <row r="212" ht="15.75" customHeight="1">
      <c r="A212" s="3">
        <v>44953.0</v>
      </c>
      <c r="B212" s="2" t="s">
        <v>20</v>
      </c>
      <c r="C212" s="2" t="s">
        <v>21</v>
      </c>
      <c r="D212" s="2" t="s">
        <v>18</v>
      </c>
      <c r="E212" s="2">
        <f t="shared" si="1"/>
        <v>2176</v>
      </c>
      <c r="F212" s="2">
        <f t="shared" si="2"/>
        <v>87.04</v>
      </c>
      <c r="G212" s="2">
        <f t="shared" si="3"/>
        <v>157.5424</v>
      </c>
      <c r="H212" s="2">
        <f t="shared" si="4"/>
        <v>8</v>
      </c>
      <c r="I212" s="2">
        <f t="shared" si="5"/>
        <v>2866</v>
      </c>
    </row>
    <row r="213" ht="15.75" customHeight="1">
      <c r="A213" s="3">
        <v>44953.0</v>
      </c>
      <c r="B213" s="2" t="s">
        <v>20</v>
      </c>
      <c r="C213" s="2" t="s">
        <v>23</v>
      </c>
      <c r="D213" s="2" t="s">
        <v>24</v>
      </c>
      <c r="E213" s="2">
        <f t="shared" si="1"/>
        <v>3078</v>
      </c>
      <c r="F213" s="2">
        <f t="shared" si="2"/>
        <v>92.34</v>
      </c>
      <c r="G213" s="2">
        <f t="shared" si="3"/>
        <v>80.3358</v>
      </c>
      <c r="H213" s="2">
        <f t="shared" si="4"/>
        <v>7</v>
      </c>
      <c r="I213" s="2">
        <f t="shared" si="5"/>
        <v>3282</v>
      </c>
    </row>
    <row r="214" ht="15.75" customHeight="1">
      <c r="A214" s="3">
        <v>44953.0</v>
      </c>
      <c r="B214" s="2" t="s">
        <v>26</v>
      </c>
      <c r="C214" s="2" t="s">
        <v>27</v>
      </c>
      <c r="D214" s="2" t="s">
        <v>25</v>
      </c>
      <c r="E214" s="2">
        <f t="shared" si="1"/>
        <v>14452</v>
      </c>
      <c r="F214" s="2">
        <f t="shared" si="2"/>
        <v>578.08</v>
      </c>
      <c r="G214" s="2">
        <f t="shared" si="3"/>
        <v>317.944</v>
      </c>
      <c r="H214" s="2">
        <f t="shared" si="4"/>
        <v>87</v>
      </c>
      <c r="I214" s="2">
        <f t="shared" si="5"/>
        <v>2297</v>
      </c>
    </row>
    <row r="215" ht="15.75" customHeight="1">
      <c r="A215" s="3">
        <v>44953.0</v>
      </c>
      <c r="B215" s="2" t="s">
        <v>26</v>
      </c>
      <c r="C215" s="2" t="s">
        <v>31</v>
      </c>
      <c r="D215" s="2" t="s">
        <v>19</v>
      </c>
      <c r="E215" s="2">
        <f t="shared" si="1"/>
        <v>14907</v>
      </c>
      <c r="F215" s="2">
        <f t="shared" si="2"/>
        <v>298.14</v>
      </c>
      <c r="G215" s="2">
        <f t="shared" si="3"/>
        <v>295.1586</v>
      </c>
      <c r="H215" s="2">
        <f t="shared" si="4"/>
        <v>15</v>
      </c>
      <c r="I215" s="2">
        <f t="shared" si="5"/>
        <v>3027</v>
      </c>
    </row>
    <row r="216" ht="15.75" customHeight="1">
      <c r="A216" s="3">
        <v>44953.0</v>
      </c>
      <c r="B216" s="2" t="s">
        <v>33</v>
      </c>
      <c r="C216" s="2" t="s">
        <v>34</v>
      </c>
      <c r="D216" s="2" t="s">
        <v>13</v>
      </c>
      <c r="E216" s="2">
        <f t="shared" si="1"/>
        <v>4059</v>
      </c>
      <c r="F216" s="2">
        <f t="shared" si="2"/>
        <v>324.72</v>
      </c>
      <c r="G216" s="2">
        <f t="shared" si="3"/>
        <v>0</v>
      </c>
      <c r="H216" s="2">
        <f t="shared" si="4"/>
        <v>49</v>
      </c>
      <c r="I216" s="2">
        <f t="shared" si="5"/>
        <v>4020</v>
      </c>
    </row>
    <row r="217" ht="15.75" customHeight="1">
      <c r="A217" s="3">
        <v>44953.0</v>
      </c>
      <c r="B217" s="2" t="s">
        <v>33</v>
      </c>
      <c r="C217" s="2" t="s">
        <v>35</v>
      </c>
      <c r="D217" s="2" t="s">
        <v>24</v>
      </c>
      <c r="E217" s="2">
        <f t="shared" si="1"/>
        <v>4157</v>
      </c>
      <c r="F217" s="2">
        <f t="shared" si="2"/>
        <v>166.28</v>
      </c>
      <c r="G217" s="2">
        <f t="shared" si="3"/>
        <v>0</v>
      </c>
      <c r="H217" s="2">
        <f t="shared" si="4"/>
        <v>33</v>
      </c>
      <c r="I217" s="2">
        <f t="shared" si="5"/>
        <v>4138</v>
      </c>
    </row>
    <row r="218" ht="15.75" customHeight="1">
      <c r="A218" s="3">
        <v>44954.0</v>
      </c>
      <c r="B218" s="2" t="s">
        <v>14</v>
      </c>
      <c r="C218" s="2" t="s">
        <v>15</v>
      </c>
      <c r="D218" s="2" t="s">
        <v>28</v>
      </c>
      <c r="E218" s="2">
        <f t="shared" si="1"/>
        <v>6663</v>
      </c>
      <c r="F218" s="2">
        <f t="shared" si="2"/>
        <v>133.26</v>
      </c>
      <c r="G218" s="2">
        <f t="shared" si="3"/>
        <v>145.2534</v>
      </c>
      <c r="H218" s="2">
        <f t="shared" si="4"/>
        <v>13</v>
      </c>
      <c r="I218" s="2">
        <f t="shared" si="5"/>
        <v>226</v>
      </c>
    </row>
    <row r="219" ht="15.75" customHeight="1">
      <c r="A219" s="3">
        <v>44954.0</v>
      </c>
      <c r="B219" s="2" t="s">
        <v>14</v>
      </c>
      <c r="C219" s="2" t="s">
        <v>17</v>
      </c>
      <c r="D219" s="2" t="s">
        <v>28</v>
      </c>
      <c r="E219" s="2">
        <f t="shared" si="1"/>
        <v>6315</v>
      </c>
      <c r="F219" s="2">
        <f t="shared" si="2"/>
        <v>126.3</v>
      </c>
      <c r="G219" s="2">
        <f t="shared" si="3"/>
        <v>178.083</v>
      </c>
      <c r="H219" s="2">
        <f t="shared" si="4"/>
        <v>21</v>
      </c>
      <c r="I219" s="2">
        <f t="shared" si="5"/>
        <v>4585</v>
      </c>
    </row>
    <row r="220" ht="15.75" customHeight="1">
      <c r="A220" s="3">
        <v>44954.0</v>
      </c>
      <c r="B220" s="2" t="s">
        <v>20</v>
      </c>
      <c r="C220" s="2" t="s">
        <v>21</v>
      </c>
      <c r="D220" s="2" t="s">
        <v>32</v>
      </c>
      <c r="E220" s="2">
        <f t="shared" si="1"/>
        <v>2838</v>
      </c>
      <c r="F220" s="2">
        <f t="shared" si="2"/>
        <v>198.66</v>
      </c>
      <c r="G220" s="2">
        <f t="shared" si="3"/>
        <v>103.3032</v>
      </c>
      <c r="H220" s="2">
        <f t="shared" si="4"/>
        <v>36</v>
      </c>
      <c r="I220" s="2">
        <f t="shared" si="5"/>
        <v>4365</v>
      </c>
    </row>
    <row r="221" ht="15.75" customHeight="1">
      <c r="A221" s="3">
        <v>44954.0</v>
      </c>
      <c r="B221" s="2" t="s">
        <v>20</v>
      </c>
      <c r="C221" s="2" t="s">
        <v>23</v>
      </c>
      <c r="D221" s="2" t="s">
        <v>18</v>
      </c>
      <c r="E221" s="2">
        <f t="shared" si="1"/>
        <v>5928</v>
      </c>
      <c r="F221" s="2">
        <f t="shared" si="2"/>
        <v>592.8</v>
      </c>
      <c r="G221" s="2">
        <f t="shared" si="3"/>
        <v>326.04</v>
      </c>
      <c r="H221" s="2">
        <f t="shared" si="4"/>
        <v>41</v>
      </c>
      <c r="I221" s="2">
        <f t="shared" si="5"/>
        <v>2882</v>
      </c>
    </row>
    <row r="222" ht="15.75" customHeight="1">
      <c r="A222" s="3">
        <v>44954.0</v>
      </c>
      <c r="B222" s="2" t="s">
        <v>26</v>
      </c>
      <c r="C222" s="2" t="s">
        <v>27</v>
      </c>
      <c r="D222" s="2" t="s">
        <v>28</v>
      </c>
      <c r="E222" s="2">
        <f t="shared" si="1"/>
        <v>13478</v>
      </c>
      <c r="F222" s="2">
        <f t="shared" si="2"/>
        <v>404.34</v>
      </c>
      <c r="G222" s="2">
        <f t="shared" si="3"/>
        <v>473.0778</v>
      </c>
      <c r="H222" s="2">
        <f t="shared" si="4"/>
        <v>65</v>
      </c>
      <c r="I222" s="2">
        <f t="shared" si="5"/>
        <v>1568</v>
      </c>
    </row>
    <row r="223" ht="15.75" customHeight="1">
      <c r="A223" s="3">
        <v>44954.0</v>
      </c>
      <c r="B223" s="2" t="s">
        <v>26</v>
      </c>
      <c r="C223" s="2" t="s">
        <v>31</v>
      </c>
      <c r="D223" s="2" t="s">
        <v>28</v>
      </c>
      <c r="E223" s="2">
        <f t="shared" si="1"/>
        <v>13308</v>
      </c>
      <c r="F223" s="2">
        <f t="shared" si="2"/>
        <v>1197.72</v>
      </c>
      <c r="G223" s="2">
        <f t="shared" si="3"/>
        <v>2203.8048</v>
      </c>
      <c r="H223" s="2">
        <f t="shared" si="4"/>
        <v>84</v>
      </c>
      <c r="I223" s="2">
        <f t="shared" si="5"/>
        <v>441</v>
      </c>
    </row>
    <row r="224" ht="15.75" customHeight="1">
      <c r="A224" s="3">
        <v>44954.0</v>
      </c>
      <c r="B224" s="2" t="s">
        <v>33</v>
      </c>
      <c r="C224" s="2" t="s">
        <v>34</v>
      </c>
      <c r="D224" s="2" t="s">
        <v>24</v>
      </c>
      <c r="E224" s="2">
        <f t="shared" si="1"/>
        <v>4633</v>
      </c>
      <c r="F224" s="2">
        <f t="shared" si="2"/>
        <v>370.64</v>
      </c>
      <c r="G224" s="2">
        <f t="shared" si="3"/>
        <v>0</v>
      </c>
      <c r="H224" s="2">
        <f t="shared" si="4"/>
        <v>74</v>
      </c>
      <c r="I224" s="2">
        <f t="shared" si="5"/>
        <v>3610</v>
      </c>
    </row>
    <row r="225" ht="15.75" customHeight="1">
      <c r="A225" s="3">
        <v>44954.0</v>
      </c>
      <c r="B225" s="2" t="s">
        <v>33</v>
      </c>
      <c r="C225" s="2" t="s">
        <v>35</v>
      </c>
      <c r="D225" s="2" t="s">
        <v>22</v>
      </c>
      <c r="E225" s="2">
        <f t="shared" si="1"/>
        <v>2580</v>
      </c>
      <c r="F225" s="2">
        <f t="shared" si="2"/>
        <v>77.4</v>
      </c>
      <c r="G225" s="2">
        <f t="shared" si="3"/>
        <v>0</v>
      </c>
      <c r="H225" s="2">
        <f t="shared" si="4"/>
        <v>11</v>
      </c>
      <c r="I225" s="2">
        <f t="shared" si="5"/>
        <v>3322</v>
      </c>
    </row>
    <row r="226" ht="15.75" customHeight="1">
      <c r="A226" s="3">
        <v>44955.0</v>
      </c>
      <c r="B226" s="2" t="s">
        <v>14</v>
      </c>
      <c r="C226" s="2" t="s">
        <v>15</v>
      </c>
      <c r="D226" s="2" t="s">
        <v>25</v>
      </c>
      <c r="E226" s="2">
        <f t="shared" si="1"/>
        <v>10980</v>
      </c>
      <c r="F226" s="2">
        <f t="shared" si="2"/>
        <v>658.8</v>
      </c>
      <c r="G226" s="2">
        <f t="shared" si="3"/>
        <v>968.436</v>
      </c>
      <c r="H226" s="2">
        <f t="shared" si="4"/>
        <v>132</v>
      </c>
      <c r="I226" s="2">
        <f t="shared" si="5"/>
        <v>3016</v>
      </c>
    </row>
    <row r="227" ht="15.75" customHeight="1">
      <c r="A227" s="3">
        <v>44955.0</v>
      </c>
      <c r="B227" s="2" t="s">
        <v>14</v>
      </c>
      <c r="C227" s="2" t="s">
        <v>17</v>
      </c>
      <c r="D227" s="2" t="s">
        <v>24</v>
      </c>
      <c r="E227" s="2">
        <f t="shared" si="1"/>
        <v>5294</v>
      </c>
      <c r="F227" s="2">
        <f t="shared" si="2"/>
        <v>476.46</v>
      </c>
      <c r="G227" s="2">
        <f t="shared" si="3"/>
        <v>705.1608</v>
      </c>
      <c r="H227" s="2">
        <f t="shared" si="4"/>
        <v>76</v>
      </c>
      <c r="I227" s="2">
        <f t="shared" si="5"/>
        <v>2721</v>
      </c>
    </row>
    <row r="228" ht="15.75" customHeight="1">
      <c r="A228" s="3">
        <v>44955.0</v>
      </c>
      <c r="B228" s="2" t="s">
        <v>20</v>
      </c>
      <c r="C228" s="2" t="s">
        <v>21</v>
      </c>
      <c r="D228" s="2" t="s">
        <v>16</v>
      </c>
      <c r="E228" s="2">
        <f t="shared" si="1"/>
        <v>2842</v>
      </c>
      <c r="F228" s="2">
        <f t="shared" si="2"/>
        <v>142.1</v>
      </c>
      <c r="G228" s="2">
        <f t="shared" si="3"/>
        <v>215.992</v>
      </c>
      <c r="H228" s="2">
        <f t="shared" si="4"/>
        <v>20</v>
      </c>
      <c r="I228" s="2">
        <f t="shared" si="5"/>
        <v>2849</v>
      </c>
    </row>
    <row r="229" ht="15.75" customHeight="1">
      <c r="A229" s="3">
        <v>44955.0</v>
      </c>
      <c r="B229" s="2" t="s">
        <v>20</v>
      </c>
      <c r="C229" s="2" t="s">
        <v>23</v>
      </c>
      <c r="D229" s="2" t="s">
        <v>16</v>
      </c>
      <c r="E229" s="2">
        <f t="shared" si="1"/>
        <v>3814</v>
      </c>
      <c r="F229" s="2">
        <f t="shared" si="2"/>
        <v>228.84</v>
      </c>
      <c r="G229" s="2">
        <f t="shared" si="3"/>
        <v>384.4512</v>
      </c>
      <c r="H229" s="2">
        <f t="shared" si="4"/>
        <v>39</v>
      </c>
      <c r="I229" s="2">
        <f t="shared" si="5"/>
        <v>4289</v>
      </c>
    </row>
    <row r="230" ht="15.75" customHeight="1">
      <c r="A230" s="3">
        <v>44955.0</v>
      </c>
      <c r="B230" s="2" t="s">
        <v>26</v>
      </c>
      <c r="C230" s="2" t="s">
        <v>27</v>
      </c>
      <c r="D230" s="2" t="s">
        <v>25</v>
      </c>
      <c r="E230" s="2">
        <f t="shared" si="1"/>
        <v>13939</v>
      </c>
      <c r="F230" s="2">
        <f t="shared" si="2"/>
        <v>1254.51</v>
      </c>
      <c r="G230" s="2">
        <f t="shared" si="3"/>
        <v>2458.8396</v>
      </c>
      <c r="H230" s="2">
        <f t="shared" si="4"/>
        <v>138</v>
      </c>
      <c r="I230" s="2">
        <f t="shared" si="5"/>
        <v>2611</v>
      </c>
    </row>
    <row r="231" ht="15.75" customHeight="1">
      <c r="A231" s="3">
        <v>44955.0</v>
      </c>
      <c r="B231" s="2" t="s">
        <v>26</v>
      </c>
      <c r="C231" s="2" t="s">
        <v>31</v>
      </c>
      <c r="D231" s="2" t="s">
        <v>16</v>
      </c>
      <c r="E231" s="2">
        <f t="shared" si="1"/>
        <v>10731</v>
      </c>
      <c r="F231" s="2">
        <f t="shared" si="2"/>
        <v>965.79</v>
      </c>
      <c r="G231" s="2">
        <f t="shared" si="3"/>
        <v>1043.0532</v>
      </c>
      <c r="H231" s="2">
        <f t="shared" si="4"/>
        <v>164</v>
      </c>
      <c r="I231" s="2">
        <f t="shared" si="5"/>
        <v>3787</v>
      </c>
    </row>
    <row r="232" ht="15.75" customHeight="1">
      <c r="A232" s="3">
        <v>44955.0</v>
      </c>
      <c r="B232" s="2" t="s">
        <v>33</v>
      </c>
      <c r="C232" s="2" t="s">
        <v>34</v>
      </c>
      <c r="D232" s="2" t="s">
        <v>16</v>
      </c>
      <c r="E232" s="2">
        <f t="shared" si="1"/>
        <v>4315</v>
      </c>
      <c r="F232" s="2">
        <f t="shared" si="2"/>
        <v>302.05</v>
      </c>
      <c r="G232" s="2">
        <f t="shared" si="3"/>
        <v>0</v>
      </c>
      <c r="H232" s="2">
        <f t="shared" si="4"/>
        <v>33</v>
      </c>
      <c r="I232" s="2">
        <f t="shared" si="5"/>
        <v>886</v>
      </c>
    </row>
    <row r="233" ht="15.75" customHeight="1">
      <c r="A233" s="3">
        <v>44955.0</v>
      </c>
      <c r="B233" s="2" t="s">
        <v>33</v>
      </c>
      <c r="C233" s="2" t="s">
        <v>35</v>
      </c>
      <c r="D233" s="2" t="s">
        <v>19</v>
      </c>
      <c r="E233" s="2">
        <f t="shared" si="1"/>
        <v>3924</v>
      </c>
      <c r="F233" s="2">
        <f t="shared" si="2"/>
        <v>392.4</v>
      </c>
      <c r="G233" s="2">
        <f t="shared" si="3"/>
        <v>0</v>
      </c>
      <c r="H233" s="2">
        <f t="shared" si="4"/>
        <v>59</v>
      </c>
      <c r="I233" s="2">
        <f t="shared" si="5"/>
        <v>1680</v>
      </c>
    </row>
    <row r="234" ht="15.75" customHeight="1">
      <c r="A234" s="3">
        <v>44956.0</v>
      </c>
      <c r="B234" s="2" t="s">
        <v>14</v>
      </c>
      <c r="C234" s="2" t="s">
        <v>15</v>
      </c>
      <c r="D234" s="2" t="s">
        <v>19</v>
      </c>
      <c r="E234" s="2">
        <f t="shared" si="1"/>
        <v>10948</v>
      </c>
      <c r="F234" s="2">
        <f t="shared" si="2"/>
        <v>985.32</v>
      </c>
      <c r="G234" s="2">
        <f t="shared" si="3"/>
        <v>827.6688</v>
      </c>
      <c r="H234" s="2">
        <f t="shared" si="4"/>
        <v>197</v>
      </c>
      <c r="I234" s="2">
        <f t="shared" si="5"/>
        <v>4121</v>
      </c>
    </row>
    <row r="235" ht="15.75" customHeight="1">
      <c r="A235" s="3">
        <v>44956.0</v>
      </c>
      <c r="B235" s="2" t="s">
        <v>14</v>
      </c>
      <c r="C235" s="2" t="s">
        <v>17</v>
      </c>
      <c r="D235" s="2" t="s">
        <v>30</v>
      </c>
      <c r="E235" s="2">
        <f t="shared" si="1"/>
        <v>5340</v>
      </c>
      <c r="F235" s="2">
        <f t="shared" si="2"/>
        <v>267</v>
      </c>
      <c r="G235" s="2">
        <f t="shared" si="3"/>
        <v>437.88</v>
      </c>
      <c r="H235" s="2">
        <f t="shared" si="4"/>
        <v>35</v>
      </c>
      <c r="I235" s="2">
        <f t="shared" si="5"/>
        <v>3207</v>
      </c>
    </row>
    <row r="236" ht="15.75" customHeight="1">
      <c r="A236" s="3">
        <v>44956.0</v>
      </c>
      <c r="B236" s="2" t="s">
        <v>20</v>
      </c>
      <c r="C236" s="2" t="s">
        <v>21</v>
      </c>
      <c r="D236" s="2" t="s">
        <v>16</v>
      </c>
      <c r="E236" s="2">
        <f t="shared" si="1"/>
        <v>4534</v>
      </c>
      <c r="F236" s="2">
        <f t="shared" si="2"/>
        <v>408.06</v>
      </c>
      <c r="G236" s="2">
        <f t="shared" si="3"/>
        <v>379.4958</v>
      </c>
      <c r="H236" s="2">
        <f t="shared" si="4"/>
        <v>73</v>
      </c>
      <c r="I236" s="2">
        <f t="shared" si="5"/>
        <v>1413</v>
      </c>
    </row>
    <row r="237" ht="15.75" customHeight="1">
      <c r="A237" s="3">
        <v>44956.0</v>
      </c>
      <c r="B237" s="2" t="s">
        <v>20</v>
      </c>
      <c r="C237" s="2" t="s">
        <v>23</v>
      </c>
      <c r="D237" s="2" t="s">
        <v>18</v>
      </c>
      <c r="E237" s="2">
        <f t="shared" si="1"/>
        <v>5709</v>
      </c>
      <c r="F237" s="2">
        <f t="shared" si="2"/>
        <v>456.72</v>
      </c>
      <c r="G237" s="2">
        <f t="shared" si="3"/>
        <v>324.2712</v>
      </c>
      <c r="H237" s="2">
        <f t="shared" si="4"/>
        <v>41</v>
      </c>
      <c r="I237" s="2">
        <f t="shared" si="5"/>
        <v>3844</v>
      </c>
    </row>
    <row r="238" ht="15.75" customHeight="1">
      <c r="A238" s="3">
        <v>44956.0</v>
      </c>
      <c r="B238" s="2" t="s">
        <v>26</v>
      </c>
      <c r="C238" s="2" t="s">
        <v>27</v>
      </c>
      <c r="D238" s="2" t="s">
        <v>13</v>
      </c>
      <c r="E238" s="2">
        <f t="shared" si="1"/>
        <v>12314</v>
      </c>
      <c r="F238" s="2">
        <f t="shared" si="2"/>
        <v>369.42</v>
      </c>
      <c r="G238" s="2">
        <f t="shared" si="3"/>
        <v>410.0562</v>
      </c>
      <c r="H238" s="2">
        <f t="shared" si="4"/>
        <v>63</v>
      </c>
      <c r="I238" s="2">
        <f t="shared" si="5"/>
        <v>1379</v>
      </c>
    </row>
    <row r="239" ht="15.75" customHeight="1">
      <c r="A239" s="3">
        <v>44956.0</v>
      </c>
      <c r="B239" s="2" t="s">
        <v>26</v>
      </c>
      <c r="C239" s="2" t="s">
        <v>31</v>
      </c>
      <c r="D239" s="2" t="s">
        <v>16</v>
      </c>
      <c r="E239" s="2">
        <f t="shared" si="1"/>
        <v>14351</v>
      </c>
      <c r="F239" s="2">
        <f t="shared" si="2"/>
        <v>1435.1</v>
      </c>
      <c r="G239" s="2">
        <f t="shared" si="3"/>
        <v>444.881</v>
      </c>
      <c r="H239" s="2">
        <f t="shared" si="4"/>
        <v>215</v>
      </c>
      <c r="I239" s="2">
        <f t="shared" si="5"/>
        <v>3977</v>
      </c>
    </row>
    <row r="240" ht="15.75" customHeight="1">
      <c r="A240" s="3">
        <v>44956.0</v>
      </c>
      <c r="B240" s="2" t="s">
        <v>33</v>
      </c>
      <c r="C240" s="2" t="s">
        <v>34</v>
      </c>
      <c r="D240" s="2" t="s">
        <v>16</v>
      </c>
      <c r="E240" s="2">
        <f t="shared" si="1"/>
        <v>4213</v>
      </c>
      <c r="F240" s="2">
        <f t="shared" si="2"/>
        <v>168.52</v>
      </c>
      <c r="G240" s="2">
        <f t="shared" si="3"/>
        <v>0</v>
      </c>
      <c r="H240" s="2">
        <f t="shared" si="4"/>
        <v>15</v>
      </c>
      <c r="I240" s="2">
        <f t="shared" si="5"/>
        <v>232</v>
      </c>
    </row>
    <row r="241" ht="15.75" customHeight="1">
      <c r="A241" s="3">
        <v>44956.0</v>
      </c>
      <c r="B241" s="2" t="s">
        <v>33</v>
      </c>
      <c r="C241" s="2" t="s">
        <v>35</v>
      </c>
      <c r="D241" s="2" t="s">
        <v>24</v>
      </c>
      <c r="E241" s="2">
        <f t="shared" si="1"/>
        <v>3131</v>
      </c>
      <c r="F241" s="2">
        <f t="shared" si="2"/>
        <v>219.17</v>
      </c>
      <c r="G241" s="2">
        <f t="shared" si="3"/>
        <v>0</v>
      </c>
      <c r="H241" s="2">
        <f t="shared" si="4"/>
        <v>33</v>
      </c>
      <c r="I241" s="2">
        <f t="shared" si="5"/>
        <v>2900</v>
      </c>
    </row>
    <row r="242" ht="15.75" customHeight="1">
      <c r="A242" s="3">
        <v>44957.0</v>
      </c>
      <c r="B242" s="2" t="s">
        <v>14</v>
      </c>
      <c r="C242" s="2" t="s">
        <v>15</v>
      </c>
      <c r="D242" s="2" t="s">
        <v>30</v>
      </c>
      <c r="E242" s="2">
        <f t="shared" si="1"/>
        <v>5435</v>
      </c>
      <c r="F242" s="2">
        <f t="shared" si="2"/>
        <v>434.8</v>
      </c>
      <c r="G242" s="2">
        <f t="shared" si="3"/>
        <v>465.236</v>
      </c>
      <c r="H242" s="2">
        <f t="shared" si="4"/>
        <v>57</v>
      </c>
      <c r="I242" s="2">
        <f t="shared" si="5"/>
        <v>3454</v>
      </c>
    </row>
    <row r="243" ht="15.75" customHeight="1">
      <c r="A243" s="3">
        <v>44957.0</v>
      </c>
      <c r="B243" s="2" t="s">
        <v>14</v>
      </c>
      <c r="C243" s="2" t="s">
        <v>17</v>
      </c>
      <c r="D243" s="2" t="s">
        <v>32</v>
      </c>
      <c r="E243" s="2">
        <f t="shared" si="1"/>
        <v>8587</v>
      </c>
      <c r="F243" s="2">
        <f t="shared" si="2"/>
        <v>257.61</v>
      </c>
      <c r="G243" s="2">
        <f t="shared" si="3"/>
        <v>218.9685</v>
      </c>
      <c r="H243" s="2">
        <f t="shared" si="4"/>
        <v>28</v>
      </c>
      <c r="I243" s="2">
        <f t="shared" si="5"/>
        <v>1624</v>
      </c>
    </row>
    <row r="244" ht="15.75" customHeight="1">
      <c r="A244" s="3">
        <v>44957.0</v>
      </c>
      <c r="B244" s="2" t="s">
        <v>20</v>
      </c>
      <c r="C244" s="2" t="s">
        <v>21</v>
      </c>
      <c r="D244" s="2" t="s">
        <v>19</v>
      </c>
      <c r="E244" s="2">
        <f t="shared" si="1"/>
        <v>4935</v>
      </c>
      <c r="F244" s="2">
        <f t="shared" si="2"/>
        <v>493.5</v>
      </c>
      <c r="G244" s="2">
        <f t="shared" si="3"/>
        <v>162.855</v>
      </c>
      <c r="H244" s="2">
        <f t="shared" si="4"/>
        <v>89</v>
      </c>
      <c r="I244" s="2">
        <f t="shared" si="5"/>
        <v>3115</v>
      </c>
    </row>
    <row r="245" ht="15.75" customHeight="1">
      <c r="A245" s="3">
        <v>44957.0</v>
      </c>
      <c r="B245" s="2" t="s">
        <v>20</v>
      </c>
      <c r="C245" s="2" t="s">
        <v>23</v>
      </c>
      <c r="D245" s="2" t="s">
        <v>19</v>
      </c>
      <c r="E245" s="2">
        <f t="shared" si="1"/>
        <v>4341</v>
      </c>
      <c r="F245" s="2">
        <f t="shared" si="2"/>
        <v>130.23</v>
      </c>
      <c r="G245" s="2">
        <f t="shared" si="3"/>
        <v>191.4381</v>
      </c>
      <c r="H245" s="2">
        <f t="shared" si="4"/>
        <v>20</v>
      </c>
      <c r="I245" s="2">
        <f t="shared" si="5"/>
        <v>4280</v>
      </c>
    </row>
    <row r="246" ht="15.75" customHeight="1">
      <c r="A246" s="3">
        <v>44957.0</v>
      </c>
      <c r="B246" s="2" t="s">
        <v>26</v>
      </c>
      <c r="C246" s="2" t="s">
        <v>27</v>
      </c>
      <c r="D246" s="2" t="s">
        <v>18</v>
      </c>
      <c r="E246" s="2">
        <f t="shared" si="1"/>
        <v>13008</v>
      </c>
      <c r="F246" s="2">
        <f t="shared" si="2"/>
        <v>390.24</v>
      </c>
      <c r="G246" s="2">
        <f t="shared" si="3"/>
        <v>565.848</v>
      </c>
      <c r="H246" s="2">
        <f t="shared" si="4"/>
        <v>47</v>
      </c>
      <c r="I246" s="2">
        <f t="shared" si="5"/>
        <v>402</v>
      </c>
    </row>
    <row r="247" ht="15.75" customHeight="1">
      <c r="A247" s="3">
        <v>44957.0</v>
      </c>
      <c r="B247" s="2" t="s">
        <v>26</v>
      </c>
      <c r="C247" s="2" t="s">
        <v>31</v>
      </c>
      <c r="D247" s="2" t="s">
        <v>24</v>
      </c>
      <c r="E247" s="2">
        <f t="shared" si="1"/>
        <v>10382</v>
      </c>
      <c r="F247" s="2">
        <f t="shared" si="2"/>
        <v>726.74</v>
      </c>
      <c r="G247" s="2">
        <f t="shared" si="3"/>
        <v>719.4726</v>
      </c>
      <c r="H247" s="2">
        <f t="shared" si="4"/>
        <v>36</v>
      </c>
      <c r="I247" s="2">
        <f t="shared" si="5"/>
        <v>3200</v>
      </c>
    </row>
    <row r="248" ht="15.75" customHeight="1">
      <c r="A248" s="3">
        <v>44957.0</v>
      </c>
      <c r="B248" s="2" t="s">
        <v>33</v>
      </c>
      <c r="C248" s="2" t="s">
        <v>34</v>
      </c>
      <c r="D248" s="2" t="s">
        <v>13</v>
      </c>
      <c r="E248" s="2">
        <f t="shared" si="1"/>
        <v>5884</v>
      </c>
      <c r="F248" s="2">
        <f t="shared" si="2"/>
        <v>470.72</v>
      </c>
      <c r="G248" s="2">
        <f t="shared" si="3"/>
        <v>0</v>
      </c>
      <c r="H248" s="2">
        <f t="shared" si="4"/>
        <v>28</v>
      </c>
      <c r="I248" s="2">
        <f t="shared" si="5"/>
        <v>1826</v>
      </c>
    </row>
    <row r="249" ht="15.75" customHeight="1">
      <c r="A249" s="3">
        <v>44957.0</v>
      </c>
      <c r="B249" s="2" t="s">
        <v>33</v>
      </c>
      <c r="C249" s="2" t="s">
        <v>35</v>
      </c>
      <c r="D249" s="2" t="s">
        <v>18</v>
      </c>
      <c r="E249" s="2">
        <f t="shared" si="1"/>
        <v>2446</v>
      </c>
      <c r="F249" s="2">
        <f t="shared" si="2"/>
        <v>220.14</v>
      </c>
      <c r="G249" s="2">
        <f t="shared" si="3"/>
        <v>0</v>
      </c>
      <c r="H249" s="2">
        <f t="shared" si="4"/>
        <v>29</v>
      </c>
      <c r="I249" s="2">
        <f t="shared" si="5"/>
        <v>1703</v>
      </c>
    </row>
    <row r="250" ht="15.75" customHeight="1">
      <c r="A250" s="3">
        <v>44958.0</v>
      </c>
      <c r="B250" s="2" t="s">
        <v>14</v>
      </c>
      <c r="C250" s="2" t="s">
        <v>15</v>
      </c>
      <c r="D250" s="2" t="s">
        <v>19</v>
      </c>
      <c r="E250" s="2">
        <f t="shared" si="1"/>
        <v>9615</v>
      </c>
      <c r="F250" s="2">
        <f t="shared" si="2"/>
        <v>576.9</v>
      </c>
      <c r="G250" s="2">
        <f t="shared" si="3"/>
        <v>184.608</v>
      </c>
      <c r="H250" s="2">
        <f t="shared" si="4"/>
        <v>104</v>
      </c>
      <c r="I250" s="2">
        <f t="shared" si="5"/>
        <v>4165</v>
      </c>
    </row>
    <row r="251" ht="15.75" customHeight="1">
      <c r="A251" s="3">
        <v>44958.0</v>
      </c>
      <c r="B251" s="2" t="s">
        <v>14</v>
      </c>
      <c r="C251" s="2" t="s">
        <v>17</v>
      </c>
      <c r="D251" s="2" t="s">
        <v>28</v>
      </c>
      <c r="E251" s="2">
        <f t="shared" si="1"/>
        <v>7823</v>
      </c>
      <c r="F251" s="2">
        <f t="shared" si="2"/>
        <v>704.07</v>
      </c>
      <c r="G251" s="2">
        <f t="shared" si="3"/>
        <v>1394.0586</v>
      </c>
      <c r="H251" s="2">
        <f t="shared" si="4"/>
        <v>42</v>
      </c>
      <c r="I251" s="2">
        <f t="shared" si="5"/>
        <v>4175</v>
      </c>
    </row>
    <row r="252" ht="15.75" customHeight="1">
      <c r="A252" s="3">
        <v>44958.0</v>
      </c>
      <c r="B252" s="2" t="s">
        <v>20</v>
      </c>
      <c r="C252" s="2" t="s">
        <v>21</v>
      </c>
      <c r="D252" s="2" t="s">
        <v>24</v>
      </c>
      <c r="E252" s="2">
        <f t="shared" si="1"/>
        <v>3169</v>
      </c>
      <c r="F252" s="2">
        <f t="shared" si="2"/>
        <v>95.07</v>
      </c>
      <c r="G252" s="2">
        <f t="shared" si="3"/>
        <v>121.6896</v>
      </c>
      <c r="H252" s="2">
        <f t="shared" si="4"/>
        <v>9</v>
      </c>
      <c r="I252" s="2">
        <f t="shared" si="5"/>
        <v>3336</v>
      </c>
    </row>
    <row r="253" ht="15.75" customHeight="1">
      <c r="A253" s="3">
        <v>44958.0</v>
      </c>
      <c r="B253" s="2" t="s">
        <v>20</v>
      </c>
      <c r="C253" s="2" t="s">
        <v>23</v>
      </c>
      <c r="D253" s="2" t="s">
        <v>19</v>
      </c>
      <c r="E253" s="2">
        <f t="shared" si="1"/>
        <v>3334</v>
      </c>
      <c r="F253" s="2">
        <f t="shared" si="2"/>
        <v>200.04</v>
      </c>
      <c r="G253" s="2">
        <f t="shared" si="3"/>
        <v>322.0644</v>
      </c>
      <c r="H253" s="2">
        <f t="shared" si="4"/>
        <v>40</v>
      </c>
      <c r="I253" s="2">
        <f t="shared" si="5"/>
        <v>3658</v>
      </c>
    </row>
    <row r="254" ht="15.75" customHeight="1">
      <c r="A254" s="3">
        <v>44958.0</v>
      </c>
      <c r="B254" s="2" t="s">
        <v>26</v>
      </c>
      <c r="C254" s="2" t="s">
        <v>27</v>
      </c>
      <c r="D254" s="2" t="s">
        <v>22</v>
      </c>
      <c r="E254" s="2">
        <f t="shared" si="1"/>
        <v>12387</v>
      </c>
      <c r="F254" s="2">
        <f t="shared" si="2"/>
        <v>619.35</v>
      </c>
      <c r="G254" s="2">
        <f t="shared" si="3"/>
        <v>706.059</v>
      </c>
      <c r="H254" s="2">
        <f t="shared" si="4"/>
        <v>111</v>
      </c>
      <c r="I254" s="2">
        <f t="shared" si="5"/>
        <v>3554</v>
      </c>
    </row>
    <row r="255" ht="15.75" customHeight="1">
      <c r="A255" s="3">
        <v>44958.0</v>
      </c>
      <c r="B255" s="2" t="s">
        <v>26</v>
      </c>
      <c r="C255" s="2" t="s">
        <v>31</v>
      </c>
      <c r="D255" s="2" t="s">
        <v>16</v>
      </c>
      <c r="E255" s="2">
        <f t="shared" si="1"/>
        <v>14765</v>
      </c>
      <c r="F255" s="2">
        <f t="shared" si="2"/>
        <v>442.95</v>
      </c>
      <c r="G255" s="2">
        <f t="shared" si="3"/>
        <v>797.31</v>
      </c>
      <c r="H255" s="2">
        <f t="shared" si="4"/>
        <v>84</v>
      </c>
      <c r="I255" s="2">
        <f t="shared" si="5"/>
        <v>2133</v>
      </c>
    </row>
    <row r="256" ht="15.75" customHeight="1">
      <c r="A256" s="3">
        <v>44958.0</v>
      </c>
      <c r="B256" s="2" t="s">
        <v>33</v>
      </c>
      <c r="C256" s="2" t="s">
        <v>34</v>
      </c>
      <c r="D256" s="2" t="s">
        <v>13</v>
      </c>
      <c r="E256" s="2">
        <f t="shared" si="1"/>
        <v>3919</v>
      </c>
      <c r="F256" s="2">
        <f t="shared" si="2"/>
        <v>235.14</v>
      </c>
      <c r="G256" s="2">
        <f t="shared" si="3"/>
        <v>0</v>
      </c>
      <c r="H256" s="2">
        <f t="shared" si="4"/>
        <v>31</v>
      </c>
      <c r="I256" s="2">
        <f t="shared" si="5"/>
        <v>3637</v>
      </c>
    </row>
    <row r="257" ht="15.75" customHeight="1">
      <c r="A257" s="3">
        <v>44958.0</v>
      </c>
      <c r="B257" s="2" t="s">
        <v>33</v>
      </c>
      <c r="C257" s="2" t="s">
        <v>35</v>
      </c>
      <c r="D257" s="2" t="s">
        <v>28</v>
      </c>
      <c r="E257" s="2">
        <f t="shared" si="1"/>
        <v>5874</v>
      </c>
      <c r="F257" s="2">
        <f t="shared" si="2"/>
        <v>528.66</v>
      </c>
      <c r="G257" s="2">
        <f t="shared" si="3"/>
        <v>0</v>
      </c>
      <c r="H257" s="2">
        <f t="shared" si="4"/>
        <v>26</v>
      </c>
      <c r="I257" s="2">
        <f t="shared" si="5"/>
        <v>2672</v>
      </c>
    </row>
    <row r="258" ht="15.75" customHeight="1">
      <c r="A258" s="3">
        <v>44959.0</v>
      </c>
      <c r="B258" s="2" t="s">
        <v>14</v>
      </c>
      <c r="C258" s="2" t="s">
        <v>15</v>
      </c>
      <c r="D258" s="2" t="s">
        <v>24</v>
      </c>
      <c r="E258" s="2">
        <f t="shared" si="1"/>
        <v>10626</v>
      </c>
      <c r="F258" s="2">
        <f t="shared" si="2"/>
        <v>956.34</v>
      </c>
      <c r="G258" s="2">
        <f t="shared" si="3"/>
        <v>1042.4106</v>
      </c>
      <c r="H258" s="2">
        <f t="shared" si="4"/>
        <v>67</v>
      </c>
      <c r="I258" s="2">
        <f t="shared" si="5"/>
        <v>2974</v>
      </c>
    </row>
    <row r="259" ht="15.75" customHeight="1">
      <c r="A259" s="3">
        <v>44959.0</v>
      </c>
      <c r="B259" s="2" t="s">
        <v>14</v>
      </c>
      <c r="C259" s="2" t="s">
        <v>17</v>
      </c>
      <c r="D259" s="2" t="s">
        <v>22</v>
      </c>
      <c r="E259" s="2">
        <f t="shared" si="1"/>
        <v>7712</v>
      </c>
      <c r="F259" s="2">
        <f t="shared" si="2"/>
        <v>694.08</v>
      </c>
      <c r="G259" s="2">
        <f t="shared" si="3"/>
        <v>340.0992</v>
      </c>
      <c r="H259" s="2">
        <f t="shared" si="4"/>
        <v>118</v>
      </c>
      <c r="I259" s="2">
        <f t="shared" si="5"/>
        <v>2779</v>
      </c>
    </row>
    <row r="260" ht="15.75" customHeight="1">
      <c r="A260" s="3">
        <v>44959.0</v>
      </c>
      <c r="B260" s="2" t="s">
        <v>20</v>
      </c>
      <c r="C260" s="2" t="s">
        <v>21</v>
      </c>
      <c r="D260" s="2" t="s">
        <v>13</v>
      </c>
      <c r="E260" s="2">
        <f t="shared" si="1"/>
        <v>5051</v>
      </c>
      <c r="F260" s="2">
        <f t="shared" si="2"/>
        <v>454.59</v>
      </c>
      <c r="G260" s="2">
        <f t="shared" si="3"/>
        <v>845.5374</v>
      </c>
      <c r="H260" s="2">
        <f t="shared" si="4"/>
        <v>86</v>
      </c>
      <c r="I260" s="2">
        <f t="shared" si="5"/>
        <v>2079</v>
      </c>
    </row>
    <row r="261" ht="15.75" customHeight="1">
      <c r="A261" s="3">
        <v>44959.0</v>
      </c>
      <c r="B261" s="2" t="s">
        <v>20</v>
      </c>
      <c r="C261" s="2" t="s">
        <v>23</v>
      </c>
      <c r="D261" s="2" t="s">
        <v>32</v>
      </c>
      <c r="E261" s="2">
        <f t="shared" si="1"/>
        <v>3992</v>
      </c>
      <c r="F261" s="2">
        <f t="shared" si="2"/>
        <v>279.44</v>
      </c>
      <c r="G261" s="2">
        <f t="shared" si="3"/>
        <v>368.8608</v>
      </c>
      <c r="H261" s="2">
        <f t="shared" si="4"/>
        <v>45</v>
      </c>
      <c r="I261" s="2">
        <f t="shared" si="5"/>
        <v>2682</v>
      </c>
    </row>
    <row r="262" ht="15.75" customHeight="1">
      <c r="A262" s="3">
        <v>44959.0</v>
      </c>
      <c r="B262" s="2" t="s">
        <v>26</v>
      </c>
      <c r="C262" s="2" t="s">
        <v>27</v>
      </c>
      <c r="D262" s="2" t="s">
        <v>22</v>
      </c>
      <c r="E262" s="2">
        <f t="shared" si="1"/>
        <v>8245</v>
      </c>
      <c r="F262" s="2">
        <f t="shared" si="2"/>
        <v>742.05</v>
      </c>
      <c r="G262" s="2">
        <f t="shared" si="3"/>
        <v>660.4245</v>
      </c>
      <c r="H262" s="2">
        <f t="shared" si="4"/>
        <v>104</v>
      </c>
      <c r="I262" s="2">
        <f t="shared" si="5"/>
        <v>2066</v>
      </c>
    </row>
    <row r="263" ht="15.75" customHeight="1">
      <c r="A263" s="3">
        <v>44959.0</v>
      </c>
      <c r="B263" s="2" t="s">
        <v>26</v>
      </c>
      <c r="C263" s="2" t="s">
        <v>31</v>
      </c>
      <c r="D263" s="2" t="s">
        <v>18</v>
      </c>
      <c r="E263" s="2">
        <f t="shared" si="1"/>
        <v>9096</v>
      </c>
      <c r="F263" s="2">
        <f t="shared" si="2"/>
        <v>363.84</v>
      </c>
      <c r="G263" s="2">
        <f t="shared" si="3"/>
        <v>618.528</v>
      </c>
      <c r="H263" s="2">
        <f t="shared" si="4"/>
        <v>29</v>
      </c>
      <c r="I263" s="2">
        <f t="shared" si="5"/>
        <v>2442</v>
      </c>
    </row>
    <row r="264" ht="15.75" customHeight="1">
      <c r="A264" s="3">
        <v>44959.0</v>
      </c>
      <c r="B264" s="2" t="s">
        <v>33</v>
      </c>
      <c r="C264" s="2" t="s">
        <v>34</v>
      </c>
      <c r="D264" s="2" t="s">
        <v>24</v>
      </c>
      <c r="E264" s="2">
        <f t="shared" si="1"/>
        <v>3498</v>
      </c>
      <c r="F264" s="2">
        <f t="shared" si="2"/>
        <v>174.9</v>
      </c>
      <c r="G264" s="2">
        <f t="shared" si="3"/>
        <v>0</v>
      </c>
      <c r="H264" s="2">
        <f t="shared" si="4"/>
        <v>24</v>
      </c>
      <c r="I264" s="2">
        <f t="shared" si="5"/>
        <v>351</v>
      </c>
    </row>
    <row r="265" ht="15.75" customHeight="1">
      <c r="A265" s="3">
        <v>44959.0</v>
      </c>
      <c r="B265" s="2" t="s">
        <v>33</v>
      </c>
      <c r="C265" s="2" t="s">
        <v>35</v>
      </c>
      <c r="D265" s="2" t="s">
        <v>24</v>
      </c>
      <c r="E265" s="2">
        <f t="shared" si="1"/>
        <v>2414</v>
      </c>
      <c r="F265" s="2">
        <f t="shared" si="2"/>
        <v>72.42</v>
      </c>
      <c r="G265" s="2">
        <f t="shared" si="3"/>
        <v>0</v>
      </c>
      <c r="H265" s="2">
        <f t="shared" si="4"/>
        <v>7</v>
      </c>
      <c r="I265" s="2">
        <f t="shared" si="5"/>
        <v>514</v>
      </c>
    </row>
    <row r="266" ht="15.75" customHeight="1">
      <c r="A266" s="3">
        <v>44960.0</v>
      </c>
      <c r="B266" s="2" t="s">
        <v>14</v>
      </c>
      <c r="C266" s="2" t="s">
        <v>15</v>
      </c>
      <c r="D266" s="2" t="s">
        <v>25</v>
      </c>
      <c r="E266" s="2">
        <f t="shared" si="1"/>
        <v>9442</v>
      </c>
      <c r="F266" s="2">
        <f t="shared" si="2"/>
        <v>472.1</v>
      </c>
      <c r="G266" s="2">
        <f t="shared" si="3"/>
        <v>481.542</v>
      </c>
      <c r="H266" s="2">
        <f t="shared" si="4"/>
        <v>76</v>
      </c>
      <c r="I266" s="2">
        <f t="shared" si="5"/>
        <v>3990</v>
      </c>
    </row>
    <row r="267" ht="15.75" customHeight="1">
      <c r="A267" s="3">
        <v>44960.0</v>
      </c>
      <c r="B267" s="2" t="s">
        <v>14</v>
      </c>
      <c r="C267" s="2" t="s">
        <v>17</v>
      </c>
      <c r="D267" s="2" t="s">
        <v>25</v>
      </c>
      <c r="E267" s="2">
        <f t="shared" si="1"/>
        <v>9539</v>
      </c>
      <c r="F267" s="2">
        <f t="shared" si="2"/>
        <v>190.78</v>
      </c>
      <c r="G267" s="2">
        <f t="shared" si="3"/>
        <v>375.8366</v>
      </c>
      <c r="H267" s="2">
        <f t="shared" si="4"/>
        <v>36</v>
      </c>
      <c r="I267" s="2">
        <f t="shared" si="5"/>
        <v>4211</v>
      </c>
    </row>
    <row r="268" ht="15.75" customHeight="1">
      <c r="A268" s="3">
        <v>44960.0</v>
      </c>
      <c r="B268" s="2" t="s">
        <v>20</v>
      </c>
      <c r="C268" s="2" t="s">
        <v>21</v>
      </c>
      <c r="D268" s="2" t="s">
        <v>18</v>
      </c>
      <c r="E268" s="2">
        <f t="shared" si="1"/>
        <v>4708</v>
      </c>
      <c r="F268" s="2">
        <f t="shared" si="2"/>
        <v>329.56</v>
      </c>
      <c r="G268" s="2">
        <f t="shared" si="3"/>
        <v>580.0256</v>
      </c>
      <c r="H268" s="2">
        <f t="shared" si="4"/>
        <v>40</v>
      </c>
      <c r="I268" s="2">
        <f t="shared" si="5"/>
        <v>265</v>
      </c>
    </row>
    <row r="269" ht="15.75" customHeight="1">
      <c r="A269" s="3">
        <v>44960.0</v>
      </c>
      <c r="B269" s="2" t="s">
        <v>20</v>
      </c>
      <c r="C269" s="2" t="s">
        <v>23</v>
      </c>
      <c r="D269" s="2" t="s">
        <v>25</v>
      </c>
      <c r="E269" s="2">
        <f t="shared" si="1"/>
        <v>4242</v>
      </c>
      <c r="F269" s="2">
        <f t="shared" si="2"/>
        <v>84.84</v>
      </c>
      <c r="G269" s="2">
        <f t="shared" si="3"/>
        <v>87.3852</v>
      </c>
      <c r="H269" s="2">
        <f t="shared" si="4"/>
        <v>14</v>
      </c>
      <c r="I269" s="2">
        <f t="shared" si="5"/>
        <v>2540</v>
      </c>
    </row>
    <row r="270" ht="15.75" customHeight="1">
      <c r="A270" s="3">
        <v>44960.0</v>
      </c>
      <c r="B270" s="2" t="s">
        <v>26</v>
      </c>
      <c r="C270" s="2" t="s">
        <v>27</v>
      </c>
      <c r="D270" s="2" t="s">
        <v>16</v>
      </c>
      <c r="E270" s="2">
        <f t="shared" si="1"/>
        <v>10445</v>
      </c>
      <c r="F270" s="2">
        <f t="shared" si="2"/>
        <v>208.9</v>
      </c>
      <c r="G270" s="2">
        <f t="shared" si="3"/>
        <v>269.481</v>
      </c>
      <c r="H270" s="2">
        <f t="shared" si="4"/>
        <v>36</v>
      </c>
      <c r="I270" s="2">
        <f t="shared" si="5"/>
        <v>1886</v>
      </c>
    </row>
    <row r="271" ht="15.75" customHeight="1">
      <c r="A271" s="3">
        <v>44960.0</v>
      </c>
      <c r="B271" s="2" t="s">
        <v>26</v>
      </c>
      <c r="C271" s="2" t="s">
        <v>31</v>
      </c>
      <c r="D271" s="2" t="s">
        <v>25</v>
      </c>
      <c r="E271" s="2">
        <f t="shared" si="1"/>
        <v>8169</v>
      </c>
      <c r="F271" s="2">
        <f t="shared" si="2"/>
        <v>571.83</v>
      </c>
      <c r="G271" s="2">
        <f t="shared" si="3"/>
        <v>657.6045</v>
      </c>
      <c r="H271" s="2">
        <f t="shared" si="4"/>
        <v>63</v>
      </c>
      <c r="I271" s="2">
        <f t="shared" si="5"/>
        <v>1906</v>
      </c>
    </row>
    <row r="272" ht="15.75" customHeight="1">
      <c r="A272" s="3">
        <v>44960.0</v>
      </c>
      <c r="B272" s="2" t="s">
        <v>33</v>
      </c>
      <c r="C272" s="2" t="s">
        <v>34</v>
      </c>
      <c r="D272" s="2" t="s">
        <v>18</v>
      </c>
      <c r="E272" s="2">
        <f t="shared" si="1"/>
        <v>3309</v>
      </c>
      <c r="F272" s="2">
        <f t="shared" si="2"/>
        <v>198.54</v>
      </c>
      <c r="G272" s="2">
        <f t="shared" si="3"/>
        <v>0</v>
      </c>
      <c r="H272" s="2">
        <f t="shared" si="4"/>
        <v>22</v>
      </c>
      <c r="I272" s="2">
        <f t="shared" si="5"/>
        <v>2651</v>
      </c>
    </row>
    <row r="273" ht="15.75" customHeight="1">
      <c r="A273" s="3">
        <v>44960.0</v>
      </c>
      <c r="B273" s="2" t="s">
        <v>33</v>
      </c>
      <c r="C273" s="2" t="s">
        <v>35</v>
      </c>
      <c r="D273" s="2" t="s">
        <v>32</v>
      </c>
      <c r="E273" s="2">
        <f t="shared" si="1"/>
        <v>3102</v>
      </c>
      <c r="F273" s="2">
        <f t="shared" si="2"/>
        <v>217.14</v>
      </c>
      <c r="G273" s="2">
        <f t="shared" si="3"/>
        <v>0</v>
      </c>
      <c r="H273" s="2">
        <f t="shared" si="4"/>
        <v>37</v>
      </c>
      <c r="I273" s="2">
        <f t="shared" si="5"/>
        <v>2308</v>
      </c>
    </row>
    <row r="274" ht="15.75" customHeight="1">
      <c r="A274" s="3">
        <v>44961.0</v>
      </c>
      <c r="B274" s="2" t="s">
        <v>14</v>
      </c>
      <c r="C274" s="2" t="s">
        <v>15</v>
      </c>
      <c r="D274" s="2" t="s">
        <v>16</v>
      </c>
      <c r="E274" s="2">
        <f t="shared" si="1"/>
        <v>8922</v>
      </c>
      <c r="F274" s="2">
        <f t="shared" si="2"/>
        <v>802.98</v>
      </c>
      <c r="G274" s="2">
        <f t="shared" si="3"/>
        <v>529.9668</v>
      </c>
      <c r="H274" s="2">
        <f t="shared" si="4"/>
        <v>112</v>
      </c>
      <c r="I274" s="2">
        <f t="shared" si="5"/>
        <v>3831</v>
      </c>
    </row>
    <row r="275" ht="15.75" customHeight="1">
      <c r="A275" s="3">
        <v>44961.0</v>
      </c>
      <c r="B275" s="2" t="s">
        <v>14</v>
      </c>
      <c r="C275" s="2" t="s">
        <v>17</v>
      </c>
      <c r="D275" s="2" t="s">
        <v>19</v>
      </c>
      <c r="E275" s="2">
        <f t="shared" si="1"/>
        <v>9393</v>
      </c>
      <c r="F275" s="2">
        <f t="shared" si="2"/>
        <v>751.44</v>
      </c>
      <c r="G275" s="2">
        <f t="shared" si="3"/>
        <v>879.1848</v>
      </c>
      <c r="H275" s="2">
        <f t="shared" si="4"/>
        <v>113</v>
      </c>
      <c r="I275" s="2">
        <f t="shared" si="5"/>
        <v>3021</v>
      </c>
    </row>
    <row r="276" ht="15.75" customHeight="1">
      <c r="A276" s="3">
        <v>44961.0</v>
      </c>
      <c r="B276" s="2" t="s">
        <v>20</v>
      </c>
      <c r="C276" s="2" t="s">
        <v>21</v>
      </c>
      <c r="D276" s="2" t="s">
        <v>13</v>
      </c>
      <c r="E276" s="2">
        <f t="shared" si="1"/>
        <v>4147</v>
      </c>
      <c r="F276" s="2">
        <f t="shared" si="2"/>
        <v>414.7</v>
      </c>
      <c r="G276" s="2">
        <f t="shared" si="3"/>
        <v>464.464</v>
      </c>
      <c r="H276" s="2">
        <f t="shared" si="4"/>
        <v>83</v>
      </c>
      <c r="I276" s="2">
        <f t="shared" si="5"/>
        <v>4080</v>
      </c>
    </row>
    <row r="277" ht="15.75" customHeight="1">
      <c r="A277" s="3">
        <v>44961.0</v>
      </c>
      <c r="B277" s="2" t="s">
        <v>20</v>
      </c>
      <c r="C277" s="2" t="s">
        <v>23</v>
      </c>
      <c r="D277" s="2" t="s">
        <v>25</v>
      </c>
      <c r="E277" s="2">
        <f t="shared" si="1"/>
        <v>3258</v>
      </c>
      <c r="F277" s="2">
        <f t="shared" si="2"/>
        <v>65.16</v>
      </c>
      <c r="G277" s="2">
        <f t="shared" si="3"/>
        <v>90.5724</v>
      </c>
      <c r="H277" s="2">
        <f t="shared" si="4"/>
        <v>5</v>
      </c>
      <c r="I277" s="2">
        <f t="shared" si="5"/>
        <v>949</v>
      </c>
    </row>
    <row r="278" ht="15.75" customHeight="1">
      <c r="A278" s="3">
        <v>44961.0</v>
      </c>
      <c r="B278" s="2" t="s">
        <v>26</v>
      </c>
      <c r="C278" s="2" t="s">
        <v>27</v>
      </c>
      <c r="D278" s="2" t="s">
        <v>25</v>
      </c>
      <c r="E278" s="2">
        <f t="shared" si="1"/>
        <v>9235</v>
      </c>
      <c r="F278" s="2">
        <f t="shared" si="2"/>
        <v>554.1</v>
      </c>
      <c r="G278" s="2">
        <f t="shared" si="3"/>
        <v>836.691</v>
      </c>
      <c r="H278" s="2">
        <f t="shared" si="4"/>
        <v>55</v>
      </c>
      <c r="I278" s="2">
        <f t="shared" si="5"/>
        <v>1586</v>
      </c>
    </row>
    <row r="279" ht="15.75" customHeight="1">
      <c r="A279" s="3">
        <v>44961.0</v>
      </c>
      <c r="B279" s="2" t="s">
        <v>26</v>
      </c>
      <c r="C279" s="2" t="s">
        <v>31</v>
      </c>
      <c r="D279" s="2" t="s">
        <v>30</v>
      </c>
      <c r="E279" s="2">
        <f t="shared" si="1"/>
        <v>10186</v>
      </c>
      <c r="F279" s="2">
        <f t="shared" si="2"/>
        <v>713.02</v>
      </c>
      <c r="G279" s="2">
        <f t="shared" si="3"/>
        <v>613.1972</v>
      </c>
      <c r="H279" s="2">
        <f t="shared" si="4"/>
        <v>43</v>
      </c>
      <c r="I279" s="2">
        <f t="shared" si="5"/>
        <v>4878</v>
      </c>
    </row>
    <row r="280" ht="15.75" customHeight="1">
      <c r="A280" s="3">
        <v>44961.0</v>
      </c>
      <c r="B280" s="2" t="s">
        <v>33</v>
      </c>
      <c r="C280" s="2" t="s">
        <v>34</v>
      </c>
      <c r="D280" s="2" t="s">
        <v>28</v>
      </c>
      <c r="E280" s="2">
        <f t="shared" si="1"/>
        <v>5226</v>
      </c>
      <c r="F280" s="2">
        <f t="shared" si="2"/>
        <v>313.56</v>
      </c>
      <c r="G280" s="2">
        <f t="shared" si="3"/>
        <v>0</v>
      </c>
      <c r="H280" s="2">
        <f t="shared" si="4"/>
        <v>28</v>
      </c>
      <c r="I280" s="2">
        <f t="shared" si="5"/>
        <v>3540</v>
      </c>
    </row>
    <row r="281" ht="15.75" customHeight="1">
      <c r="A281" s="3">
        <v>44961.0</v>
      </c>
      <c r="B281" s="2" t="s">
        <v>33</v>
      </c>
      <c r="C281" s="2" t="s">
        <v>35</v>
      </c>
      <c r="D281" s="2" t="s">
        <v>32</v>
      </c>
      <c r="E281" s="2">
        <f t="shared" si="1"/>
        <v>5841</v>
      </c>
      <c r="F281" s="2">
        <f t="shared" si="2"/>
        <v>233.64</v>
      </c>
      <c r="G281" s="2">
        <f t="shared" si="3"/>
        <v>0</v>
      </c>
      <c r="H281" s="2">
        <f t="shared" si="4"/>
        <v>12</v>
      </c>
      <c r="I281" s="2">
        <f t="shared" si="5"/>
        <v>2020</v>
      </c>
    </row>
    <row r="282" ht="15.75" customHeight="1">
      <c r="A282" s="3">
        <v>44962.0</v>
      </c>
      <c r="B282" s="2" t="s">
        <v>14</v>
      </c>
      <c r="C282" s="2" t="s">
        <v>15</v>
      </c>
      <c r="D282" s="2" t="s">
        <v>18</v>
      </c>
      <c r="E282" s="2">
        <f t="shared" si="1"/>
        <v>7499</v>
      </c>
      <c r="F282" s="2">
        <f t="shared" si="2"/>
        <v>524.93</v>
      </c>
      <c r="G282" s="2">
        <f t="shared" si="3"/>
        <v>467.1877</v>
      </c>
      <c r="H282" s="2">
        <f t="shared" si="4"/>
        <v>47</v>
      </c>
      <c r="I282" s="2">
        <f t="shared" si="5"/>
        <v>4863</v>
      </c>
    </row>
    <row r="283" ht="15.75" customHeight="1">
      <c r="A283" s="3">
        <v>44962.0</v>
      </c>
      <c r="B283" s="2" t="s">
        <v>14</v>
      </c>
      <c r="C283" s="2" t="s">
        <v>17</v>
      </c>
      <c r="D283" s="2" t="s">
        <v>30</v>
      </c>
      <c r="E283" s="2">
        <f t="shared" si="1"/>
        <v>7183</v>
      </c>
      <c r="F283" s="2">
        <f t="shared" si="2"/>
        <v>574.64</v>
      </c>
      <c r="G283" s="2">
        <f t="shared" si="3"/>
        <v>781.5104</v>
      </c>
      <c r="H283" s="2">
        <f t="shared" si="4"/>
        <v>86</v>
      </c>
      <c r="I283" s="2">
        <f t="shared" si="5"/>
        <v>4869</v>
      </c>
    </row>
    <row r="284" ht="15.75" customHeight="1">
      <c r="A284" s="3">
        <v>44962.0</v>
      </c>
      <c r="B284" s="2" t="s">
        <v>20</v>
      </c>
      <c r="C284" s="2" t="s">
        <v>21</v>
      </c>
      <c r="D284" s="2" t="s">
        <v>22</v>
      </c>
      <c r="E284" s="2">
        <f t="shared" si="1"/>
        <v>4633</v>
      </c>
      <c r="F284" s="2">
        <f t="shared" si="2"/>
        <v>185.32</v>
      </c>
      <c r="G284" s="2">
        <f t="shared" si="3"/>
        <v>107.4856</v>
      </c>
      <c r="H284" s="2">
        <f t="shared" si="4"/>
        <v>20</v>
      </c>
      <c r="I284" s="2">
        <f t="shared" si="5"/>
        <v>3844</v>
      </c>
    </row>
    <row r="285" ht="15.75" customHeight="1">
      <c r="A285" s="3">
        <v>44962.0</v>
      </c>
      <c r="B285" s="2" t="s">
        <v>20</v>
      </c>
      <c r="C285" s="2" t="s">
        <v>23</v>
      </c>
      <c r="D285" s="2" t="s">
        <v>18</v>
      </c>
      <c r="E285" s="2">
        <f t="shared" si="1"/>
        <v>2282</v>
      </c>
      <c r="F285" s="2">
        <f t="shared" si="2"/>
        <v>159.74</v>
      </c>
      <c r="G285" s="2">
        <f t="shared" si="3"/>
        <v>49.5194</v>
      </c>
      <c r="H285" s="2">
        <f t="shared" si="4"/>
        <v>10</v>
      </c>
      <c r="I285" s="2">
        <f t="shared" si="5"/>
        <v>211</v>
      </c>
    </row>
    <row r="286" ht="15.75" customHeight="1">
      <c r="A286" s="3">
        <v>44962.0</v>
      </c>
      <c r="B286" s="2" t="s">
        <v>26</v>
      </c>
      <c r="C286" s="2" t="s">
        <v>27</v>
      </c>
      <c r="D286" s="2" t="s">
        <v>28</v>
      </c>
      <c r="E286" s="2">
        <f t="shared" si="1"/>
        <v>13481</v>
      </c>
      <c r="F286" s="2">
        <f t="shared" si="2"/>
        <v>1213.29</v>
      </c>
      <c r="G286" s="2">
        <f t="shared" si="3"/>
        <v>934.2333</v>
      </c>
      <c r="H286" s="2">
        <f t="shared" si="4"/>
        <v>97</v>
      </c>
      <c r="I286" s="2">
        <f t="shared" si="5"/>
        <v>2773</v>
      </c>
    </row>
    <row r="287" ht="15.75" customHeight="1">
      <c r="A287" s="3">
        <v>44962.0</v>
      </c>
      <c r="B287" s="2" t="s">
        <v>26</v>
      </c>
      <c r="C287" s="2" t="s">
        <v>31</v>
      </c>
      <c r="D287" s="2" t="s">
        <v>19</v>
      </c>
      <c r="E287" s="2">
        <f t="shared" si="1"/>
        <v>9505</v>
      </c>
      <c r="F287" s="2">
        <f t="shared" si="2"/>
        <v>570.3</v>
      </c>
      <c r="G287" s="2">
        <f t="shared" si="3"/>
        <v>672.954</v>
      </c>
      <c r="H287" s="2">
        <f t="shared" si="4"/>
        <v>57</v>
      </c>
      <c r="I287" s="2">
        <f t="shared" si="5"/>
        <v>3357</v>
      </c>
    </row>
    <row r="288" ht="15.75" customHeight="1">
      <c r="A288" s="3">
        <v>44962.0</v>
      </c>
      <c r="B288" s="2" t="s">
        <v>33</v>
      </c>
      <c r="C288" s="2" t="s">
        <v>34</v>
      </c>
      <c r="D288" s="2" t="s">
        <v>24</v>
      </c>
      <c r="E288" s="2">
        <f t="shared" si="1"/>
        <v>5120</v>
      </c>
      <c r="F288" s="2">
        <f t="shared" si="2"/>
        <v>102.4</v>
      </c>
      <c r="G288" s="2">
        <f t="shared" si="3"/>
        <v>0</v>
      </c>
      <c r="H288" s="2">
        <f t="shared" si="4"/>
        <v>16</v>
      </c>
      <c r="I288" s="2">
        <f t="shared" si="5"/>
        <v>901</v>
      </c>
    </row>
    <row r="289" ht="15.75" customHeight="1">
      <c r="A289" s="3">
        <v>44962.0</v>
      </c>
      <c r="B289" s="2" t="s">
        <v>33</v>
      </c>
      <c r="C289" s="2" t="s">
        <v>35</v>
      </c>
      <c r="D289" s="2" t="s">
        <v>25</v>
      </c>
      <c r="E289" s="2">
        <f t="shared" si="1"/>
        <v>3079</v>
      </c>
      <c r="F289" s="2">
        <f t="shared" si="2"/>
        <v>153.95</v>
      </c>
      <c r="G289" s="2">
        <f t="shared" si="3"/>
        <v>0</v>
      </c>
      <c r="H289" s="2">
        <f t="shared" si="4"/>
        <v>15</v>
      </c>
      <c r="I289" s="2">
        <f t="shared" si="5"/>
        <v>115</v>
      </c>
    </row>
    <row r="290" ht="15.75" customHeight="1">
      <c r="A290" s="3">
        <v>44963.0</v>
      </c>
      <c r="B290" s="2" t="s">
        <v>14</v>
      </c>
      <c r="C290" s="2" t="s">
        <v>15</v>
      </c>
      <c r="D290" s="2" t="s">
        <v>28</v>
      </c>
      <c r="E290" s="2">
        <f t="shared" si="1"/>
        <v>5461</v>
      </c>
      <c r="F290" s="2">
        <f t="shared" si="2"/>
        <v>382.27</v>
      </c>
      <c r="G290" s="2">
        <f t="shared" si="3"/>
        <v>634.5682</v>
      </c>
      <c r="H290" s="2">
        <f t="shared" si="4"/>
        <v>46</v>
      </c>
      <c r="I290" s="2">
        <f t="shared" si="5"/>
        <v>1916</v>
      </c>
    </row>
    <row r="291" ht="15.75" customHeight="1">
      <c r="A291" s="3">
        <v>44963.0</v>
      </c>
      <c r="B291" s="2" t="s">
        <v>14</v>
      </c>
      <c r="C291" s="2" t="s">
        <v>17</v>
      </c>
      <c r="D291" s="2" t="s">
        <v>24</v>
      </c>
      <c r="E291" s="2">
        <f t="shared" si="1"/>
        <v>7384</v>
      </c>
      <c r="F291" s="2">
        <f t="shared" si="2"/>
        <v>664.56</v>
      </c>
      <c r="G291" s="2">
        <f t="shared" si="3"/>
        <v>392.0904</v>
      </c>
      <c r="H291" s="2">
        <f t="shared" si="4"/>
        <v>126</v>
      </c>
      <c r="I291" s="2">
        <f t="shared" si="5"/>
        <v>2260</v>
      </c>
    </row>
    <row r="292" ht="15.75" customHeight="1">
      <c r="A292" s="3">
        <v>44963.0</v>
      </c>
      <c r="B292" s="2" t="s">
        <v>20</v>
      </c>
      <c r="C292" s="2" t="s">
        <v>21</v>
      </c>
      <c r="D292" s="2" t="s">
        <v>22</v>
      </c>
      <c r="E292" s="2">
        <f t="shared" si="1"/>
        <v>4792</v>
      </c>
      <c r="F292" s="2">
        <f t="shared" si="2"/>
        <v>383.36</v>
      </c>
      <c r="G292" s="2">
        <f t="shared" si="3"/>
        <v>617.2096</v>
      </c>
      <c r="H292" s="2">
        <f t="shared" si="4"/>
        <v>31</v>
      </c>
      <c r="I292" s="2">
        <f t="shared" si="5"/>
        <v>2938</v>
      </c>
    </row>
    <row r="293" ht="15.75" customHeight="1">
      <c r="A293" s="3">
        <v>44963.0</v>
      </c>
      <c r="B293" s="2" t="s">
        <v>20</v>
      </c>
      <c r="C293" s="2" t="s">
        <v>23</v>
      </c>
      <c r="D293" s="2" t="s">
        <v>30</v>
      </c>
      <c r="E293" s="2">
        <f t="shared" si="1"/>
        <v>5144</v>
      </c>
      <c r="F293" s="2">
        <f t="shared" si="2"/>
        <v>102.88</v>
      </c>
      <c r="G293" s="2">
        <f t="shared" si="3"/>
        <v>57.6128</v>
      </c>
      <c r="H293" s="2">
        <f t="shared" si="4"/>
        <v>5</v>
      </c>
      <c r="I293" s="2">
        <f t="shared" si="5"/>
        <v>3083</v>
      </c>
    </row>
    <row r="294" ht="15.75" customHeight="1">
      <c r="A294" s="3">
        <v>44963.0</v>
      </c>
      <c r="B294" s="2" t="s">
        <v>26</v>
      </c>
      <c r="C294" s="2" t="s">
        <v>27</v>
      </c>
      <c r="D294" s="2" t="s">
        <v>16</v>
      </c>
      <c r="E294" s="2">
        <f t="shared" si="1"/>
        <v>13812</v>
      </c>
      <c r="F294" s="2">
        <f t="shared" si="2"/>
        <v>690.6</v>
      </c>
      <c r="G294" s="2">
        <f t="shared" si="3"/>
        <v>725.13</v>
      </c>
      <c r="H294" s="2">
        <f t="shared" si="4"/>
        <v>124</v>
      </c>
      <c r="I294" s="2">
        <f t="shared" si="5"/>
        <v>3854</v>
      </c>
    </row>
    <row r="295" ht="15.75" customHeight="1">
      <c r="A295" s="3">
        <v>44963.0</v>
      </c>
      <c r="B295" s="2" t="s">
        <v>26</v>
      </c>
      <c r="C295" s="2" t="s">
        <v>31</v>
      </c>
      <c r="D295" s="2" t="s">
        <v>13</v>
      </c>
      <c r="E295" s="2">
        <f t="shared" si="1"/>
        <v>8497</v>
      </c>
      <c r="F295" s="2">
        <f t="shared" si="2"/>
        <v>764.73</v>
      </c>
      <c r="G295" s="2">
        <f t="shared" si="3"/>
        <v>1047.6801</v>
      </c>
      <c r="H295" s="2">
        <f t="shared" si="4"/>
        <v>122</v>
      </c>
      <c r="I295" s="2">
        <f t="shared" si="5"/>
        <v>2834</v>
      </c>
    </row>
    <row r="296" ht="15.75" customHeight="1">
      <c r="A296" s="3">
        <v>44963.0</v>
      </c>
      <c r="B296" s="2" t="s">
        <v>33</v>
      </c>
      <c r="C296" s="2" t="s">
        <v>34</v>
      </c>
      <c r="D296" s="2" t="s">
        <v>16</v>
      </c>
      <c r="E296" s="2">
        <f t="shared" si="1"/>
        <v>4221</v>
      </c>
      <c r="F296" s="2">
        <f t="shared" si="2"/>
        <v>168.84</v>
      </c>
      <c r="G296" s="2">
        <f t="shared" si="3"/>
        <v>0</v>
      </c>
      <c r="H296" s="2">
        <f t="shared" si="4"/>
        <v>25</v>
      </c>
      <c r="I296" s="2">
        <f t="shared" si="5"/>
        <v>512</v>
      </c>
    </row>
    <row r="297" ht="15.75" customHeight="1">
      <c r="A297" s="3">
        <v>44963.0</v>
      </c>
      <c r="B297" s="2" t="s">
        <v>33</v>
      </c>
      <c r="C297" s="2" t="s">
        <v>35</v>
      </c>
      <c r="D297" s="2" t="s">
        <v>30</v>
      </c>
      <c r="E297" s="2">
        <f t="shared" si="1"/>
        <v>4320</v>
      </c>
      <c r="F297" s="2">
        <f t="shared" si="2"/>
        <v>172.8</v>
      </c>
      <c r="G297" s="2">
        <f t="shared" si="3"/>
        <v>0</v>
      </c>
      <c r="H297" s="2">
        <f t="shared" si="4"/>
        <v>29</v>
      </c>
      <c r="I297" s="2">
        <f t="shared" si="5"/>
        <v>598</v>
      </c>
    </row>
    <row r="298" ht="15.75" customHeight="1">
      <c r="A298" s="3">
        <v>44964.0</v>
      </c>
      <c r="B298" s="2" t="s">
        <v>14</v>
      </c>
      <c r="C298" s="2" t="s">
        <v>15</v>
      </c>
      <c r="D298" s="2" t="s">
        <v>18</v>
      </c>
      <c r="E298" s="2">
        <f t="shared" si="1"/>
        <v>8292</v>
      </c>
      <c r="F298" s="2">
        <f t="shared" si="2"/>
        <v>829.2</v>
      </c>
      <c r="G298" s="2">
        <f t="shared" si="3"/>
        <v>1417.932</v>
      </c>
      <c r="H298" s="2">
        <f t="shared" si="4"/>
        <v>100</v>
      </c>
      <c r="I298" s="2">
        <f t="shared" si="5"/>
        <v>1754</v>
      </c>
    </row>
    <row r="299" ht="15.75" customHeight="1">
      <c r="A299" s="3">
        <v>44964.0</v>
      </c>
      <c r="B299" s="2" t="s">
        <v>14</v>
      </c>
      <c r="C299" s="2" t="s">
        <v>17</v>
      </c>
      <c r="D299" s="2" t="s">
        <v>28</v>
      </c>
      <c r="E299" s="2">
        <f t="shared" si="1"/>
        <v>5903</v>
      </c>
      <c r="F299" s="2">
        <f t="shared" si="2"/>
        <v>236.12</v>
      </c>
      <c r="G299" s="2">
        <f t="shared" si="3"/>
        <v>238.4812</v>
      </c>
      <c r="H299" s="2">
        <f t="shared" si="4"/>
        <v>45</v>
      </c>
      <c r="I299" s="2">
        <f t="shared" si="5"/>
        <v>1950</v>
      </c>
    </row>
    <row r="300" ht="15.75" customHeight="1">
      <c r="A300" s="3">
        <v>44964.0</v>
      </c>
      <c r="B300" s="2" t="s">
        <v>20</v>
      </c>
      <c r="C300" s="2" t="s">
        <v>21</v>
      </c>
      <c r="D300" s="2" t="s">
        <v>16</v>
      </c>
      <c r="E300" s="2">
        <f t="shared" si="1"/>
        <v>5316</v>
      </c>
      <c r="F300" s="2">
        <f t="shared" si="2"/>
        <v>318.96</v>
      </c>
      <c r="G300" s="2">
        <f t="shared" si="3"/>
        <v>446.544</v>
      </c>
      <c r="H300" s="2">
        <f t="shared" si="4"/>
        <v>19</v>
      </c>
      <c r="I300" s="2">
        <f t="shared" si="5"/>
        <v>2001</v>
      </c>
    </row>
    <row r="301" ht="15.75" customHeight="1">
      <c r="A301" s="3">
        <v>44964.0</v>
      </c>
      <c r="B301" s="2" t="s">
        <v>20</v>
      </c>
      <c r="C301" s="2" t="s">
        <v>23</v>
      </c>
      <c r="D301" s="2" t="s">
        <v>19</v>
      </c>
      <c r="E301" s="2">
        <f t="shared" si="1"/>
        <v>3018</v>
      </c>
      <c r="F301" s="2">
        <f t="shared" si="2"/>
        <v>120.72</v>
      </c>
      <c r="G301" s="2">
        <f t="shared" si="3"/>
        <v>178.6656</v>
      </c>
      <c r="H301" s="2">
        <f t="shared" si="4"/>
        <v>11</v>
      </c>
      <c r="I301" s="2">
        <f t="shared" si="5"/>
        <v>2944</v>
      </c>
    </row>
    <row r="302" ht="15.75" customHeight="1">
      <c r="A302" s="3">
        <v>44964.0</v>
      </c>
      <c r="B302" s="2" t="s">
        <v>26</v>
      </c>
      <c r="C302" s="2" t="s">
        <v>27</v>
      </c>
      <c r="D302" s="2" t="s">
        <v>19</v>
      </c>
      <c r="E302" s="2">
        <f t="shared" si="1"/>
        <v>14430</v>
      </c>
      <c r="F302" s="2">
        <f t="shared" si="2"/>
        <v>1154.4</v>
      </c>
      <c r="G302" s="2">
        <f t="shared" si="3"/>
        <v>1685.424</v>
      </c>
      <c r="H302" s="2">
        <f t="shared" si="4"/>
        <v>208</v>
      </c>
      <c r="I302" s="2">
        <f t="shared" si="5"/>
        <v>2761</v>
      </c>
    </row>
    <row r="303" ht="15.75" customHeight="1">
      <c r="A303" s="3">
        <v>44964.0</v>
      </c>
      <c r="B303" s="2" t="s">
        <v>26</v>
      </c>
      <c r="C303" s="2" t="s">
        <v>31</v>
      </c>
      <c r="D303" s="2" t="s">
        <v>19</v>
      </c>
      <c r="E303" s="2">
        <f t="shared" si="1"/>
        <v>8863</v>
      </c>
      <c r="F303" s="2">
        <f t="shared" si="2"/>
        <v>265.89</v>
      </c>
      <c r="G303" s="2">
        <f t="shared" si="3"/>
        <v>449.3541</v>
      </c>
      <c r="H303" s="2">
        <f t="shared" si="4"/>
        <v>13</v>
      </c>
      <c r="I303" s="2">
        <f t="shared" si="5"/>
        <v>1639</v>
      </c>
    </row>
    <row r="304" ht="15.75" customHeight="1">
      <c r="A304" s="3">
        <v>44964.0</v>
      </c>
      <c r="B304" s="2" t="s">
        <v>33</v>
      </c>
      <c r="C304" s="2" t="s">
        <v>34</v>
      </c>
      <c r="D304" s="2" t="s">
        <v>22</v>
      </c>
      <c r="E304" s="2">
        <f t="shared" si="1"/>
        <v>5394</v>
      </c>
      <c r="F304" s="2">
        <f t="shared" si="2"/>
        <v>161.82</v>
      </c>
      <c r="G304" s="2">
        <f t="shared" si="3"/>
        <v>0</v>
      </c>
      <c r="H304" s="2">
        <f t="shared" si="4"/>
        <v>23</v>
      </c>
      <c r="I304" s="2">
        <f t="shared" si="5"/>
        <v>3368</v>
      </c>
    </row>
    <row r="305" ht="15.75" customHeight="1">
      <c r="A305" s="3">
        <v>44964.0</v>
      </c>
      <c r="B305" s="2" t="s">
        <v>33</v>
      </c>
      <c r="C305" s="2" t="s">
        <v>35</v>
      </c>
      <c r="D305" s="2" t="s">
        <v>18</v>
      </c>
      <c r="E305" s="2">
        <f t="shared" si="1"/>
        <v>2493</v>
      </c>
      <c r="F305" s="2">
        <f t="shared" si="2"/>
        <v>124.65</v>
      </c>
      <c r="G305" s="2">
        <f t="shared" si="3"/>
        <v>0</v>
      </c>
      <c r="H305" s="2">
        <f t="shared" si="4"/>
        <v>20</v>
      </c>
      <c r="I305" s="2">
        <f t="shared" si="5"/>
        <v>2331</v>
      </c>
    </row>
    <row r="306" ht="15.75" customHeight="1">
      <c r="A306" s="3">
        <v>44965.0</v>
      </c>
      <c r="B306" s="2" t="s">
        <v>14</v>
      </c>
      <c r="C306" s="2" t="s">
        <v>15</v>
      </c>
      <c r="D306" s="2" t="s">
        <v>24</v>
      </c>
      <c r="E306" s="2">
        <f t="shared" si="1"/>
        <v>7040</v>
      </c>
      <c r="F306" s="2">
        <f t="shared" si="2"/>
        <v>704</v>
      </c>
      <c r="G306" s="2">
        <f t="shared" si="3"/>
        <v>422.4</v>
      </c>
      <c r="H306" s="2">
        <f t="shared" si="4"/>
        <v>141</v>
      </c>
      <c r="I306" s="2">
        <f t="shared" si="5"/>
        <v>3506</v>
      </c>
    </row>
    <row r="307" ht="15.75" customHeight="1">
      <c r="A307" s="3">
        <v>44965.0</v>
      </c>
      <c r="B307" s="2" t="s">
        <v>14</v>
      </c>
      <c r="C307" s="2" t="s">
        <v>17</v>
      </c>
      <c r="D307" s="2" t="s">
        <v>24</v>
      </c>
      <c r="E307" s="2">
        <f t="shared" si="1"/>
        <v>6985</v>
      </c>
      <c r="F307" s="2">
        <f t="shared" si="2"/>
        <v>349.25</v>
      </c>
      <c r="G307" s="2">
        <f t="shared" si="3"/>
        <v>461.01</v>
      </c>
      <c r="H307" s="2">
        <f t="shared" si="4"/>
        <v>63</v>
      </c>
      <c r="I307" s="2">
        <f t="shared" si="5"/>
        <v>3567</v>
      </c>
    </row>
    <row r="308" ht="15.75" customHeight="1">
      <c r="A308" s="3">
        <v>44965.0</v>
      </c>
      <c r="B308" s="2" t="s">
        <v>20</v>
      </c>
      <c r="C308" s="2" t="s">
        <v>21</v>
      </c>
      <c r="D308" s="2" t="s">
        <v>22</v>
      </c>
      <c r="E308" s="2">
        <f t="shared" si="1"/>
        <v>5168</v>
      </c>
      <c r="F308" s="2">
        <f t="shared" si="2"/>
        <v>465.12</v>
      </c>
      <c r="G308" s="2">
        <f t="shared" si="3"/>
        <v>348.84</v>
      </c>
      <c r="H308" s="2">
        <f t="shared" si="4"/>
        <v>60</v>
      </c>
      <c r="I308" s="2">
        <f t="shared" si="5"/>
        <v>1668</v>
      </c>
    </row>
    <row r="309" ht="15.75" customHeight="1">
      <c r="A309" s="3">
        <v>44965.0</v>
      </c>
      <c r="B309" s="2" t="s">
        <v>20</v>
      </c>
      <c r="C309" s="2" t="s">
        <v>23</v>
      </c>
      <c r="D309" s="2" t="s">
        <v>25</v>
      </c>
      <c r="E309" s="2">
        <f t="shared" si="1"/>
        <v>4915</v>
      </c>
      <c r="F309" s="2">
        <f t="shared" si="2"/>
        <v>491.5</v>
      </c>
      <c r="G309" s="2">
        <f t="shared" si="3"/>
        <v>599.63</v>
      </c>
      <c r="H309" s="2">
        <f t="shared" si="4"/>
        <v>34</v>
      </c>
      <c r="I309" s="2">
        <f t="shared" si="5"/>
        <v>401</v>
      </c>
    </row>
    <row r="310" ht="15.75" customHeight="1">
      <c r="A310" s="3">
        <v>44965.0</v>
      </c>
      <c r="B310" s="2" t="s">
        <v>26</v>
      </c>
      <c r="C310" s="2" t="s">
        <v>27</v>
      </c>
      <c r="D310" s="2" t="s">
        <v>22</v>
      </c>
      <c r="E310" s="2">
        <f t="shared" si="1"/>
        <v>13076</v>
      </c>
      <c r="F310" s="2">
        <f t="shared" si="2"/>
        <v>392.28</v>
      </c>
      <c r="G310" s="2">
        <f t="shared" si="3"/>
        <v>537.4236</v>
      </c>
      <c r="H310" s="2">
        <f t="shared" si="4"/>
        <v>47</v>
      </c>
      <c r="I310" s="2">
        <f t="shared" si="5"/>
        <v>1142</v>
      </c>
    </row>
    <row r="311" ht="15.75" customHeight="1">
      <c r="A311" s="3">
        <v>44965.0</v>
      </c>
      <c r="B311" s="2" t="s">
        <v>26</v>
      </c>
      <c r="C311" s="2" t="s">
        <v>31</v>
      </c>
      <c r="D311" s="2" t="s">
        <v>30</v>
      </c>
      <c r="E311" s="2">
        <f t="shared" si="1"/>
        <v>13489</v>
      </c>
      <c r="F311" s="2">
        <f t="shared" si="2"/>
        <v>539.56</v>
      </c>
      <c r="G311" s="2">
        <f t="shared" si="3"/>
        <v>679.8456</v>
      </c>
      <c r="H311" s="2">
        <f t="shared" si="4"/>
        <v>43</v>
      </c>
      <c r="I311" s="2">
        <f t="shared" si="5"/>
        <v>392</v>
      </c>
    </row>
    <row r="312" ht="15.75" customHeight="1">
      <c r="A312" s="3">
        <v>44965.0</v>
      </c>
      <c r="B312" s="2" t="s">
        <v>33</v>
      </c>
      <c r="C312" s="2" t="s">
        <v>34</v>
      </c>
      <c r="D312" s="2" t="s">
        <v>18</v>
      </c>
      <c r="E312" s="2">
        <f t="shared" si="1"/>
        <v>3735</v>
      </c>
      <c r="F312" s="2">
        <f t="shared" si="2"/>
        <v>298.8</v>
      </c>
      <c r="G312" s="2">
        <f t="shared" si="3"/>
        <v>0</v>
      </c>
      <c r="H312" s="2">
        <f t="shared" si="4"/>
        <v>60</v>
      </c>
      <c r="I312" s="2">
        <f t="shared" si="5"/>
        <v>1979</v>
      </c>
    </row>
    <row r="313" ht="15.75" customHeight="1">
      <c r="A313" s="3">
        <v>44965.0</v>
      </c>
      <c r="B313" s="2" t="s">
        <v>33</v>
      </c>
      <c r="C313" s="2" t="s">
        <v>35</v>
      </c>
      <c r="D313" s="2" t="s">
        <v>30</v>
      </c>
      <c r="E313" s="2">
        <f t="shared" si="1"/>
        <v>2194</v>
      </c>
      <c r="F313" s="2">
        <f t="shared" si="2"/>
        <v>87.76</v>
      </c>
      <c r="G313" s="2">
        <f t="shared" si="3"/>
        <v>0</v>
      </c>
      <c r="H313" s="2">
        <f t="shared" si="4"/>
        <v>6</v>
      </c>
      <c r="I313" s="2">
        <f t="shared" si="5"/>
        <v>2740</v>
      </c>
    </row>
    <row r="314" ht="15.75" customHeight="1">
      <c r="A314" s="3">
        <v>44966.0</v>
      </c>
      <c r="B314" s="2" t="s">
        <v>14</v>
      </c>
      <c r="C314" s="2" t="s">
        <v>15</v>
      </c>
      <c r="D314" s="2" t="s">
        <v>32</v>
      </c>
      <c r="E314" s="2">
        <f t="shared" si="1"/>
        <v>7157</v>
      </c>
      <c r="F314" s="2">
        <f t="shared" si="2"/>
        <v>214.71</v>
      </c>
      <c r="G314" s="2">
        <f t="shared" si="3"/>
        <v>98.7666</v>
      </c>
      <c r="H314" s="2">
        <f t="shared" si="4"/>
        <v>43</v>
      </c>
      <c r="I314" s="2">
        <f t="shared" si="5"/>
        <v>1775</v>
      </c>
    </row>
    <row r="315" ht="15.75" customHeight="1">
      <c r="A315" s="3">
        <v>44966.0</v>
      </c>
      <c r="B315" s="2" t="s">
        <v>14</v>
      </c>
      <c r="C315" s="2" t="s">
        <v>17</v>
      </c>
      <c r="D315" s="2" t="s">
        <v>30</v>
      </c>
      <c r="E315" s="2">
        <f t="shared" si="1"/>
        <v>7535</v>
      </c>
      <c r="F315" s="2">
        <f t="shared" si="2"/>
        <v>678.15</v>
      </c>
      <c r="G315" s="2">
        <f t="shared" si="3"/>
        <v>922.284</v>
      </c>
      <c r="H315" s="2">
        <f t="shared" si="4"/>
        <v>122</v>
      </c>
      <c r="I315" s="2">
        <f t="shared" si="5"/>
        <v>1759</v>
      </c>
    </row>
    <row r="316" ht="15.75" customHeight="1">
      <c r="A316" s="3">
        <v>44966.0</v>
      </c>
      <c r="B316" s="2" t="s">
        <v>20</v>
      </c>
      <c r="C316" s="2" t="s">
        <v>21</v>
      </c>
      <c r="D316" s="2" t="s">
        <v>24</v>
      </c>
      <c r="E316" s="2">
        <f t="shared" si="1"/>
        <v>3164</v>
      </c>
      <c r="F316" s="2">
        <f t="shared" si="2"/>
        <v>158.2</v>
      </c>
      <c r="G316" s="2">
        <f t="shared" si="3"/>
        <v>185.094</v>
      </c>
      <c r="H316" s="2">
        <f t="shared" si="4"/>
        <v>27</v>
      </c>
      <c r="I316" s="2">
        <f t="shared" si="5"/>
        <v>123</v>
      </c>
    </row>
    <row r="317" ht="15.75" customHeight="1">
      <c r="A317" s="3">
        <v>44966.0</v>
      </c>
      <c r="B317" s="2" t="s">
        <v>20</v>
      </c>
      <c r="C317" s="2" t="s">
        <v>23</v>
      </c>
      <c r="D317" s="2" t="s">
        <v>19</v>
      </c>
      <c r="E317" s="2">
        <f t="shared" si="1"/>
        <v>4423</v>
      </c>
      <c r="F317" s="2">
        <f t="shared" si="2"/>
        <v>265.38</v>
      </c>
      <c r="G317" s="2">
        <f t="shared" si="3"/>
        <v>427.2618</v>
      </c>
      <c r="H317" s="2">
        <f t="shared" si="4"/>
        <v>27</v>
      </c>
      <c r="I317" s="2">
        <f t="shared" si="5"/>
        <v>1367</v>
      </c>
    </row>
    <row r="318" ht="15.75" customHeight="1">
      <c r="A318" s="3">
        <v>44966.0</v>
      </c>
      <c r="B318" s="2" t="s">
        <v>26</v>
      </c>
      <c r="C318" s="2" t="s">
        <v>27</v>
      </c>
      <c r="D318" s="2" t="s">
        <v>22</v>
      </c>
      <c r="E318" s="2">
        <f t="shared" si="1"/>
        <v>13394</v>
      </c>
      <c r="F318" s="2">
        <f t="shared" si="2"/>
        <v>1339.4</v>
      </c>
      <c r="G318" s="2">
        <f t="shared" si="3"/>
        <v>2652.012</v>
      </c>
      <c r="H318" s="2">
        <f t="shared" si="4"/>
        <v>254</v>
      </c>
      <c r="I318" s="2">
        <f t="shared" si="5"/>
        <v>3767</v>
      </c>
    </row>
    <row r="319" ht="15.75" customHeight="1">
      <c r="A319" s="3">
        <v>44966.0</v>
      </c>
      <c r="B319" s="2" t="s">
        <v>26</v>
      </c>
      <c r="C319" s="2" t="s">
        <v>31</v>
      </c>
      <c r="D319" s="2" t="s">
        <v>18</v>
      </c>
      <c r="E319" s="2">
        <f t="shared" si="1"/>
        <v>8688</v>
      </c>
      <c r="F319" s="2">
        <f t="shared" si="2"/>
        <v>347.52</v>
      </c>
      <c r="G319" s="2">
        <f t="shared" si="3"/>
        <v>145.9584</v>
      </c>
      <c r="H319" s="2">
        <f t="shared" si="4"/>
        <v>59</v>
      </c>
      <c r="I319" s="2">
        <f t="shared" si="5"/>
        <v>1755</v>
      </c>
    </row>
    <row r="320" ht="15.75" customHeight="1">
      <c r="A320" s="3">
        <v>44966.0</v>
      </c>
      <c r="B320" s="2" t="s">
        <v>33</v>
      </c>
      <c r="C320" s="2" t="s">
        <v>34</v>
      </c>
      <c r="D320" s="2" t="s">
        <v>22</v>
      </c>
      <c r="E320" s="2">
        <f t="shared" si="1"/>
        <v>5880</v>
      </c>
      <c r="F320" s="2">
        <f t="shared" si="2"/>
        <v>411.6</v>
      </c>
      <c r="G320" s="2">
        <f t="shared" si="3"/>
        <v>0</v>
      </c>
      <c r="H320" s="2">
        <f t="shared" si="4"/>
        <v>29</v>
      </c>
      <c r="I320" s="2">
        <f t="shared" si="5"/>
        <v>1741</v>
      </c>
    </row>
    <row r="321" ht="15.75" customHeight="1">
      <c r="A321" s="3">
        <v>44966.0</v>
      </c>
      <c r="B321" s="2" t="s">
        <v>33</v>
      </c>
      <c r="C321" s="2" t="s">
        <v>35</v>
      </c>
      <c r="D321" s="2" t="s">
        <v>13</v>
      </c>
      <c r="E321" s="2">
        <f t="shared" si="1"/>
        <v>4818</v>
      </c>
      <c r="F321" s="2">
        <f t="shared" si="2"/>
        <v>385.44</v>
      </c>
      <c r="G321" s="2">
        <f t="shared" si="3"/>
        <v>0</v>
      </c>
      <c r="H321" s="2">
        <f t="shared" si="4"/>
        <v>66</v>
      </c>
      <c r="I321" s="2">
        <f t="shared" si="5"/>
        <v>3811</v>
      </c>
    </row>
    <row r="322" ht="15.75" customHeight="1">
      <c r="A322" s="3">
        <v>44967.0</v>
      </c>
      <c r="B322" s="2" t="s">
        <v>14</v>
      </c>
      <c r="C322" s="2" t="s">
        <v>15</v>
      </c>
      <c r="D322" s="2" t="s">
        <v>18</v>
      </c>
      <c r="E322" s="2">
        <f t="shared" si="1"/>
        <v>10785</v>
      </c>
      <c r="F322" s="2">
        <f t="shared" si="2"/>
        <v>862.8</v>
      </c>
      <c r="G322" s="2">
        <f t="shared" si="3"/>
        <v>1414.992</v>
      </c>
      <c r="H322" s="2">
        <f t="shared" si="4"/>
        <v>147</v>
      </c>
      <c r="I322" s="2">
        <f t="shared" si="5"/>
        <v>1902</v>
      </c>
    </row>
    <row r="323" ht="15.75" customHeight="1">
      <c r="A323" s="3">
        <v>44967.0</v>
      </c>
      <c r="B323" s="2" t="s">
        <v>14</v>
      </c>
      <c r="C323" s="2" t="s">
        <v>17</v>
      </c>
      <c r="D323" s="2" t="s">
        <v>30</v>
      </c>
      <c r="E323" s="2">
        <f t="shared" si="1"/>
        <v>7762</v>
      </c>
      <c r="F323" s="2">
        <f t="shared" si="2"/>
        <v>388.1</v>
      </c>
      <c r="G323" s="2">
        <f t="shared" si="3"/>
        <v>729.628</v>
      </c>
      <c r="H323" s="2">
        <f t="shared" si="4"/>
        <v>19</v>
      </c>
      <c r="I323" s="2">
        <f t="shared" si="5"/>
        <v>2088</v>
      </c>
    </row>
    <row r="324" ht="15.75" customHeight="1">
      <c r="A324" s="3">
        <v>44967.0</v>
      </c>
      <c r="B324" s="2" t="s">
        <v>20</v>
      </c>
      <c r="C324" s="2" t="s">
        <v>21</v>
      </c>
      <c r="D324" s="2" t="s">
        <v>24</v>
      </c>
      <c r="E324" s="2">
        <f t="shared" si="1"/>
        <v>3848</v>
      </c>
      <c r="F324" s="2">
        <f t="shared" si="2"/>
        <v>192.4</v>
      </c>
      <c r="G324" s="2">
        <f t="shared" si="3"/>
        <v>103.896</v>
      </c>
      <c r="H324" s="2">
        <f t="shared" si="4"/>
        <v>10</v>
      </c>
      <c r="I324" s="2">
        <f t="shared" si="5"/>
        <v>2201</v>
      </c>
    </row>
    <row r="325" ht="15.75" customHeight="1">
      <c r="A325" s="3">
        <v>44967.0</v>
      </c>
      <c r="B325" s="2" t="s">
        <v>20</v>
      </c>
      <c r="C325" s="2" t="s">
        <v>23</v>
      </c>
      <c r="D325" s="2" t="s">
        <v>16</v>
      </c>
      <c r="E325" s="2">
        <f t="shared" si="1"/>
        <v>2236</v>
      </c>
      <c r="F325" s="2">
        <f t="shared" si="2"/>
        <v>223.6</v>
      </c>
      <c r="G325" s="2">
        <f t="shared" si="3"/>
        <v>243.724</v>
      </c>
      <c r="H325" s="2">
        <f t="shared" si="4"/>
        <v>11</v>
      </c>
      <c r="I325" s="2">
        <f t="shared" si="5"/>
        <v>1804</v>
      </c>
    </row>
    <row r="326" ht="15.75" customHeight="1">
      <c r="A326" s="3">
        <v>44967.0</v>
      </c>
      <c r="B326" s="2" t="s">
        <v>26</v>
      </c>
      <c r="C326" s="2" t="s">
        <v>27</v>
      </c>
      <c r="D326" s="2" t="s">
        <v>16</v>
      </c>
      <c r="E326" s="2">
        <f t="shared" si="1"/>
        <v>8699</v>
      </c>
      <c r="F326" s="2">
        <f t="shared" si="2"/>
        <v>695.92</v>
      </c>
      <c r="G326" s="2">
        <f t="shared" si="3"/>
        <v>1364.0032</v>
      </c>
      <c r="H326" s="2">
        <f t="shared" si="4"/>
        <v>125</v>
      </c>
      <c r="I326" s="2">
        <f t="shared" si="5"/>
        <v>3200</v>
      </c>
    </row>
    <row r="327" ht="15.75" customHeight="1">
      <c r="A327" s="3">
        <v>44967.0</v>
      </c>
      <c r="B327" s="2" t="s">
        <v>26</v>
      </c>
      <c r="C327" s="2" t="s">
        <v>31</v>
      </c>
      <c r="D327" s="2" t="s">
        <v>30</v>
      </c>
      <c r="E327" s="2">
        <f t="shared" si="1"/>
        <v>10428</v>
      </c>
      <c r="F327" s="2">
        <f t="shared" si="2"/>
        <v>938.52</v>
      </c>
      <c r="G327" s="2">
        <f t="shared" si="3"/>
        <v>1548.558</v>
      </c>
      <c r="H327" s="2">
        <f t="shared" si="4"/>
        <v>84</v>
      </c>
      <c r="I327" s="2">
        <f t="shared" si="5"/>
        <v>1120</v>
      </c>
    </row>
    <row r="328" ht="15.75" customHeight="1">
      <c r="A328" s="3">
        <v>44967.0</v>
      </c>
      <c r="B328" s="2" t="s">
        <v>33</v>
      </c>
      <c r="C328" s="2" t="s">
        <v>34</v>
      </c>
      <c r="D328" s="2" t="s">
        <v>18</v>
      </c>
      <c r="E328" s="2">
        <f t="shared" si="1"/>
        <v>5397</v>
      </c>
      <c r="F328" s="2">
        <f t="shared" si="2"/>
        <v>377.79</v>
      </c>
      <c r="G328" s="2">
        <f t="shared" si="3"/>
        <v>0</v>
      </c>
      <c r="H328" s="2">
        <f t="shared" si="4"/>
        <v>53</v>
      </c>
      <c r="I328" s="2">
        <f t="shared" si="5"/>
        <v>1409</v>
      </c>
    </row>
    <row r="329" ht="15.75" customHeight="1">
      <c r="A329" s="3">
        <v>44967.0</v>
      </c>
      <c r="B329" s="2" t="s">
        <v>33</v>
      </c>
      <c r="C329" s="2" t="s">
        <v>35</v>
      </c>
      <c r="D329" s="2" t="s">
        <v>32</v>
      </c>
      <c r="E329" s="2">
        <f t="shared" si="1"/>
        <v>2596</v>
      </c>
      <c r="F329" s="2">
        <f t="shared" si="2"/>
        <v>259.6</v>
      </c>
      <c r="G329" s="2">
        <f t="shared" si="3"/>
        <v>0</v>
      </c>
      <c r="H329" s="2">
        <f t="shared" si="4"/>
        <v>31</v>
      </c>
      <c r="I329" s="2">
        <f t="shared" si="5"/>
        <v>1700</v>
      </c>
    </row>
    <row r="330" ht="15.75" customHeight="1">
      <c r="A330" s="3">
        <v>44968.0</v>
      </c>
      <c r="B330" s="2" t="s">
        <v>14</v>
      </c>
      <c r="C330" s="2" t="s">
        <v>15</v>
      </c>
      <c r="D330" s="2" t="s">
        <v>16</v>
      </c>
      <c r="E330" s="2">
        <f t="shared" si="1"/>
        <v>8944</v>
      </c>
      <c r="F330" s="2">
        <f t="shared" si="2"/>
        <v>715.52</v>
      </c>
      <c r="G330" s="2">
        <f t="shared" si="3"/>
        <v>758.4512</v>
      </c>
      <c r="H330" s="2">
        <f t="shared" si="4"/>
        <v>57</v>
      </c>
      <c r="I330" s="2">
        <f t="shared" si="5"/>
        <v>3737</v>
      </c>
    </row>
    <row r="331" ht="15.75" customHeight="1">
      <c r="A331" s="3">
        <v>44968.0</v>
      </c>
      <c r="B331" s="2" t="s">
        <v>14</v>
      </c>
      <c r="C331" s="2" t="s">
        <v>17</v>
      </c>
      <c r="D331" s="2" t="s">
        <v>30</v>
      </c>
      <c r="E331" s="2">
        <f t="shared" si="1"/>
        <v>6557</v>
      </c>
      <c r="F331" s="2">
        <f t="shared" si="2"/>
        <v>590.13</v>
      </c>
      <c r="G331" s="2">
        <f t="shared" si="3"/>
        <v>867.4911</v>
      </c>
      <c r="H331" s="2">
        <f t="shared" si="4"/>
        <v>106</v>
      </c>
      <c r="I331" s="2">
        <f t="shared" si="5"/>
        <v>2902</v>
      </c>
    </row>
    <row r="332" ht="15.75" customHeight="1">
      <c r="A332" s="3">
        <v>44968.0</v>
      </c>
      <c r="B332" s="2" t="s">
        <v>20</v>
      </c>
      <c r="C332" s="2" t="s">
        <v>21</v>
      </c>
      <c r="D332" s="2" t="s">
        <v>16</v>
      </c>
      <c r="E332" s="2">
        <f t="shared" si="1"/>
        <v>3522</v>
      </c>
      <c r="F332" s="2">
        <f t="shared" si="2"/>
        <v>140.88</v>
      </c>
      <c r="G332" s="2">
        <f t="shared" si="3"/>
        <v>157.7856</v>
      </c>
      <c r="H332" s="2">
        <f t="shared" si="4"/>
        <v>23</v>
      </c>
      <c r="I332" s="2">
        <f t="shared" si="5"/>
        <v>4037</v>
      </c>
    </row>
    <row r="333" ht="15.75" customHeight="1">
      <c r="A333" s="3">
        <v>44968.0</v>
      </c>
      <c r="B333" s="2" t="s">
        <v>20</v>
      </c>
      <c r="C333" s="2" t="s">
        <v>23</v>
      </c>
      <c r="D333" s="2" t="s">
        <v>13</v>
      </c>
      <c r="E333" s="2">
        <f t="shared" si="1"/>
        <v>4958</v>
      </c>
      <c r="F333" s="2">
        <f t="shared" si="2"/>
        <v>198.32</v>
      </c>
      <c r="G333" s="2">
        <f t="shared" si="3"/>
        <v>180.4712</v>
      </c>
      <c r="H333" s="2">
        <f t="shared" si="4"/>
        <v>30</v>
      </c>
      <c r="I333" s="2">
        <f t="shared" si="5"/>
        <v>4808</v>
      </c>
    </row>
    <row r="334" ht="15.75" customHeight="1">
      <c r="A334" s="3">
        <v>44968.0</v>
      </c>
      <c r="B334" s="2" t="s">
        <v>26</v>
      </c>
      <c r="C334" s="2" t="s">
        <v>27</v>
      </c>
      <c r="D334" s="2" t="s">
        <v>19</v>
      </c>
      <c r="E334" s="2">
        <f t="shared" si="1"/>
        <v>10890</v>
      </c>
      <c r="F334" s="2">
        <f t="shared" si="2"/>
        <v>871.2</v>
      </c>
      <c r="G334" s="2">
        <f t="shared" si="3"/>
        <v>949.608</v>
      </c>
      <c r="H334" s="2">
        <f t="shared" si="4"/>
        <v>122</v>
      </c>
      <c r="I334" s="2">
        <f t="shared" si="5"/>
        <v>4750</v>
      </c>
    </row>
    <row r="335" ht="15.75" customHeight="1">
      <c r="A335" s="3">
        <v>44968.0</v>
      </c>
      <c r="B335" s="2" t="s">
        <v>26</v>
      </c>
      <c r="C335" s="2" t="s">
        <v>31</v>
      </c>
      <c r="D335" s="2" t="s">
        <v>13</v>
      </c>
      <c r="E335" s="2">
        <f t="shared" si="1"/>
        <v>14852</v>
      </c>
      <c r="F335" s="2">
        <f t="shared" si="2"/>
        <v>742.6</v>
      </c>
      <c r="G335" s="2">
        <f t="shared" si="3"/>
        <v>475.264</v>
      </c>
      <c r="H335" s="2">
        <f t="shared" si="4"/>
        <v>37</v>
      </c>
      <c r="I335" s="2">
        <f t="shared" si="5"/>
        <v>4387</v>
      </c>
    </row>
    <row r="336" ht="15.75" customHeight="1">
      <c r="A336" s="3">
        <v>44968.0</v>
      </c>
      <c r="B336" s="2" t="s">
        <v>33</v>
      </c>
      <c r="C336" s="2" t="s">
        <v>34</v>
      </c>
      <c r="D336" s="2" t="s">
        <v>22</v>
      </c>
      <c r="E336" s="2">
        <f t="shared" si="1"/>
        <v>2688</v>
      </c>
      <c r="F336" s="2">
        <f t="shared" si="2"/>
        <v>215.04</v>
      </c>
      <c r="G336" s="2">
        <f t="shared" si="3"/>
        <v>0</v>
      </c>
      <c r="H336" s="2">
        <f t="shared" si="4"/>
        <v>39</v>
      </c>
      <c r="I336" s="2">
        <f t="shared" si="5"/>
        <v>210</v>
      </c>
    </row>
    <row r="337" ht="15.75" customHeight="1">
      <c r="A337" s="3">
        <v>44968.0</v>
      </c>
      <c r="B337" s="2" t="s">
        <v>33</v>
      </c>
      <c r="C337" s="2" t="s">
        <v>35</v>
      </c>
      <c r="D337" s="2" t="s">
        <v>30</v>
      </c>
      <c r="E337" s="2">
        <f t="shared" si="1"/>
        <v>2552</v>
      </c>
      <c r="F337" s="2">
        <f t="shared" si="2"/>
        <v>255.2</v>
      </c>
      <c r="G337" s="2">
        <f t="shared" si="3"/>
        <v>0</v>
      </c>
      <c r="H337" s="2">
        <f t="shared" si="4"/>
        <v>46</v>
      </c>
      <c r="I337" s="2">
        <f t="shared" si="5"/>
        <v>1355</v>
      </c>
    </row>
    <row r="338" ht="15.75" customHeight="1">
      <c r="A338" s="3">
        <v>44969.0</v>
      </c>
      <c r="B338" s="2" t="s">
        <v>14</v>
      </c>
      <c r="C338" s="2" t="s">
        <v>15</v>
      </c>
      <c r="D338" s="2" t="s">
        <v>32</v>
      </c>
      <c r="E338" s="2">
        <f t="shared" si="1"/>
        <v>5585</v>
      </c>
      <c r="F338" s="2">
        <f t="shared" si="2"/>
        <v>167.55</v>
      </c>
      <c r="G338" s="2">
        <f t="shared" si="3"/>
        <v>78.7485</v>
      </c>
      <c r="H338" s="2">
        <f t="shared" si="4"/>
        <v>27</v>
      </c>
      <c r="I338" s="2">
        <f t="shared" si="5"/>
        <v>4634</v>
      </c>
    </row>
    <row r="339" ht="15.75" customHeight="1">
      <c r="A339" s="3">
        <v>44969.0</v>
      </c>
      <c r="B339" s="2" t="s">
        <v>14</v>
      </c>
      <c r="C339" s="2" t="s">
        <v>17</v>
      </c>
      <c r="D339" s="2" t="s">
        <v>30</v>
      </c>
      <c r="E339" s="2">
        <f t="shared" si="1"/>
        <v>7475</v>
      </c>
      <c r="F339" s="2">
        <f t="shared" si="2"/>
        <v>747.5</v>
      </c>
      <c r="G339" s="2">
        <f t="shared" si="3"/>
        <v>702.65</v>
      </c>
      <c r="H339" s="2">
        <f t="shared" si="4"/>
        <v>120</v>
      </c>
      <c r="I339" s="2">
        <f t="shared" si="5"/>
        <v>4462</v>
      </c>
    </row>
    <row r="340" ht="15.75" customHeight="1">
      <c r="A340" s="3">
        <v>44969.0</v>
      </c>
      <c r="B340" s="2" t="s">
        <v>20</v>
      </c>
      <c r="C340" s="2" t="s">
        <v>21</v>
      </c>
      <c r="D340" s="2" t="s">
        <v>18</v>
      </c>
      <c r="E340" s="2">
        <f t="shared" si="1"/>
        <v>5340</v>
      </c>
      <c r="F340" s="2">
        <f t="shared" si="2"/>
        <v>267</v>
      </c>
      <c r="G340" s="2">
        <f t="shared" si="3"/>
        <v>267</v>
      </c>
      <c r="H340" s="2">
        <f t="shared" si="4"/>
        <v>51</v>
      </c>
      <c r="I340" s="2">
        <f t="shared" si="5"/>
        <v>1860</v>
      </c>
    </row>
    <row r="341" ht="15.75" customHeight="1">
      <c r="A341" s="3">
        <v>44969.0</v>
      </c>
      <c r="B341" s="2" t="s">
        <v>20</v>
      </c>
      <c r="C341" s="2" t="s">
        <v>23</v>
      </c>
      <c r="D341" s="2" t="s">
        <v>22</v>
      </c>
      <c r="E341" s="2">
        <f t="shared" si="1"/>
        <v>5708</v>
      </c>
      <c r="F341" s="2">
        <f t="shared" si="2"/>
        <v>570.8</v>
      </c>
      <c r="G341" s="2">
        <f t="shared" si="3"/>
        <v>793.412</v>
      </c>
      <c r="H341" s="2">
        <f t="shared" si="4"/>
        <v>51</v>
      </c>
      <c r="I341" s="2">
        <f t="shared" si="5"/>
        <v>4192</v>
      </c>
    </row>
    <row r="342" ht="15.75" customHeight="1">
      <c r="A342" s="3">
        <v>44969.0</v>
      </c>
      <c r="B342" s="2" t="s">
        <v>26</v>
      </c>
      <c r="C342" s="2" t="s">
        <v>27</v>
      </c>
      <c r="D342" s="2" t="s">
        <v>32</v>
      </c>
      <c r="E342" s="2">
        <f t="shared" si="1"/>
        <v>11001</v>
      </c>
      <c r="F342" s="2">
        <f t="shared" si="2"/>
        <v>440.04</v>
      </c>
      <c r="G342" s="2">
        <f t="shared" si="3"/>
        <v>800.8728</v>
      </c>
      <c r="H342" s="2">
        <f t="shared" si="4"/>
        <v>88</v>
      </c>
      <c r="I342" s="2">
        <f t="shared" si="5"/>
        <v>898</v>
      </c>
    </row>
    <row r="343" ht="15.75" customHeight="1">
      <c r="A343" s="3">
        <v>44969.0</v>
      </c>
      <c r="B343" s="2" t="s">
        <v>26</v>
      </c>
      <c r="C343" s="2" t="s">
        <v>31</v>
      </c>
      <c r="D343" s="2" t="s">
        <v>32</v>
      </c>
      <c r="E343" s="2">
        <f t="shared" si="1"/>
        <v>10220</v>
      </c>
      <c r="F343" s="2">
        <f t="shared" si="2"/>
        <v>613.2</v>
      </c>
      <c r="G343" s="2">
        <f t="shared" si="3"/>
        <v>318.864</v>
      </c>
      <c r="H343" s="2">
        <f t="shared" si="4"/>
        <v>49</v>
      </c>
      <c r="I343" s="2">
        <f t="shared" si="5"/>
        <v>2415</v>
      </c>
    </row>
    <row r="344" ht="15.75" customHeight="1">
      <c r="A344" s="3">
        <v>44969.0</v>
      </c>
      <c r="B344" s="2" t="s">
        <v>33</v>
      </c>
      <c r="C344" s="2" t="s">
        <v>34</v>
      </c>
      <c r="D344" s="2" t="s">
        <v>18</v>
      </c>
      <c r="E344" s="2">
        <f t="shared" si="1"/>
        <v>2753</v>
      </c>
      <c r="F344" s="2">
        <f t="shared" si="2"/>
        <v>55.06</v>
      </c>
      <c r="G344" s="2">
        <f t="shared" si="3"/>
        <v>0</v>
      </c>
      <c r="H344" s="2">
        <f t="shared" si="4"/>
        <v>10</v>
      </c>
      <c r="I344" s="2">
        <f t="shared" si="5"/>
        <v>2370</v>
      </c>
    </row>
    <row r="345" ht="15.75" customHeight="1">
      <c r="A345" s="3">
        <v>44969.0</v>
      </c>
      <c r="B345" s="2" t="s">
        <v>33</v>
      </c>
      <c r="C345" s="2" t="s">
        <v>35</v>
      </c>
      <c r="D345" s="2" t="s">
        <v>32</v>
      </c>
      <c r="E345" s="2">
        <f t="shared" si="1"/>
        <v>2394</v>
      </c>
      <c r="F345" s="2">
        <f t="shared" si="2"/>
        <v>71.82</v>
      </c>
      <c r="G345" s="2">
        <f t="shared" si="3"/>
        <v>0</v>
      </c>
      <c r="H345" s="2">
        <f t="shared" si="4"/>
        <v>6</v>
      </c>
      <c r="I345" s="2">
        <f t="shared" si="5"/>
        <v>700</v>
      </c>
    </row>
    <row r="346" ht="15.75" customHeight="1">
      <c r="A346" s="3">
        <v>44970.0</v>
      </c>
      <c r="B346" s="2" t="s">
        <v>14</v>
      </c>
      <c r="C346" s="2" t="s">
        <v>15</v>
      </c>
      <c r="D346" s="2" t="s">
        <v>25</v>
      </c>
      <c r="E346" s="2">
        <f t="shared" si="1"/>
        <v>6967</v>
      </c>
      <c r="F346" s="2">
        <f t="shared" si="2"/>
        <v>278.68</v>
      </c>
      <c r="G346" s="2">
        <f t="shared" si="3"/>
        <v>515.558</v>
      </c>
      <c r="H346" s="2">
        <f t="shared" si="4"/>
        <v>33</v>
      </c>
      <c r="I346" s="2">
        <f t="shared" si="5"/>
        <v>4999</v>
      </c>
    </row>
    <row r="347" ht="15.75" customHeight="1">
      <c r="A347" s="3">
        <v>44970.0</v>
      </c>
      <c r="B347" s="2" t="s">
        <v>14</v>
      </c>
      <c r="C347" s="2" t="s">
        <v>17</v>
      </c>
      <c r="D347" s="2" t="s">
        <v>24</v>
      </c>
      <c r="E347" s="2">
        <f t="shared" si="1"/>
        <v>8752</v>
      </c>
      <c r="F347" s="2">
        <f t="shared" si="2"/>
        <v>350.08</v>
      </c>
      <c r="G347" s="2">
        <f t="shared" si="3"/>
        <v>119.0272</v>
      </c>
      <c r="H347" s="2">
        <f t="shared" si="4"/>
        <v>35</v>
      </c>
      <c r="I347" s="2">
        <f t="shared" si="5"/>
        <v>4919</v>
      </c>
    </row>
    <row r="348" ht="15.75" customHeight="1">
      <c r="A348" s="3">
        <v>44970.0</v>
      </c>
      <c r="B348" s="2" t="s">
        <v>20</v>
      </c>
      <c r="C348" s="2" t="s">
        <v>21</v>
      </c>
      <c r="D348" s="2" t="s">
        <v>32</v>
      </c>
      <c r="E348" s="2">
        <f t="shared" si="1"/>
        <v>5352</v>
      </c>
      <c r="F348" s="2">
        <f t="shared" si="2"/>
        <v>107.04</v>
      </c>
      <c r="G348" s="2">
        <f t="shared" si="3"/>
        <v>154.1376</v>
      </c>
      <c r="H348" s="2">
        <f t="shared" si="4"/>
        <v>7</v>
      </c>
      <c r="I348" s="2">
        <f t="shared" si="5"/>
        <v>1187</v>
      </c>
    </row>
    <row r="349" ht="15.75" customHeight="1">
      <c r="A349" s="3">
        <v>44970.0</v>
      </c>
      <c r="B349" s="2" t="s">
        <v>20</v>
      </c>
      <c r="C349" s="2" t="s">
        <v>23</v>
      </c>
      <c r="D349" s="2" t="s">
        <v>25</v>
      </c>
      <c r="E349" s="2">
        <f t="shared" si="1"/>
        <v>5054</v>
      </c>
      <c r="F349" s="2">
        <f t="shared" si="2"/>
        <v>151.62</v>
      </c>
      <c r="G349" s="2">
        <f t="shared" si="3"/>
        <v>188.0088</v>
      </c>
      <c r="H349" s="2">
        <f t="shared" si="4"/>
        <v>27</v>
      </c>
      <c r="I349" s="2">
        <f t="shared" si="5"/>
        <v>2287</v>
      </c>
    </row>
    <row r="350" ht="15.75" customHeight="1">
      <c r="A350" s="3">
        <v>44970.0</v>
      </c>
      <c r="B350" s="2" t="s">
        <v>26</v>
      </c>
      <c r="C350" s="2" t="s">
        <v>27</v>
      </c>
      <c r="D350" s="2" t="s">
        <v>18</v>
      </c>
      <c r="E350" s="2">
        <f t="shared" si="1"/>
        <v>11637</v>
      </c>
      <c r="F350" s="2">
        <f t="shared" si="2"/>
        <v>698.22</v>
      </c>
      <c r="G350" s="2">
        <f t="shared" si="3"/>
        <v>523.665</v>
      </c>
      <c r="H350" s="2">
        <f t="shared" si="4"/>
        <v>84</v>
      </c>
      <c r="I350" s="2">
        <f t="shared" si="5"/>
        <v>1657</v>
      </c>
    </row>
    <row r="351" ht="15.75" customHeight="1">
      <c r="A351" s="3">
        <v>44970.0</v>
      </c>
      <c r="B351" s="2" t="s">
        <v>26</v>
      </c>
      <c r="C351" s="2" t="s">
        <v>31</v>
      </c>
      <c r="D351" s="2" t="s">
        <v>18</v>
      </c>
      <c r="E351" s="2">
        <f t="shared" si="1"/>
        <v>13092</v>
      </c>
      <c r="F351" s="2">
        <f t="shared" si="2"/>
        <v>785.52</v>
      </c>
      <c r="G351" s="2">
        <f t="shared" si="3"/>
        <v>966.1896</v>
      </c>
      <c r="H351" s="2">
        <f t="shared" si="4"/>
        <v>63</v>
      </c>
      <c r="I351" s="2">
        <f t="shared" si="5"/>
        <v>4459</v>
      </c>
    </row>
    <row r="352" ht="15.75" customHeight="1">
      <c r="A352" s="3">
        <v>44970.0</v>
      </c>
      <c r="B352" s="2" t="s">
        <v>33</v>
      </c>
      <c r="C352" s="2" t="s">
        <v>34</v>
      </c>
      <c r="D352" s="2" t="s">
        <v>24</v>
      </c>
      <c r="E352" s="2">
        <f t="shared" si="1"/>
        <v>5228</v>
      </c>
      <c r="F352" s="2">
        <f t="shared" si="2"/>
        <v>209.12</v>
      </c>
      <c r="G352" s="2">
        <f t="shared" si="3"/>
        <v>0</v>
      </c>
      <c r="H352" s="2">
        <f t="shared" si="4"/>
        <v>10</v>
      </c>
      <c r="I352" s="2">
        <f t="shared" si="5"/>
        <v>859</v>
      </c>
    </row>
    <row r="353" ht="15.75" customHeight="1">
      <c r="A353" s="3">
        <v>44970.0</v>
      </c>
      <c r="B353" s="2" t="s">
        <v>33</v>
      </c>
      <c r="C353" s="2" t="s">
        <v>35</v>
      </c>
      <c r="D353" s="2" t="s">
        <v>32</v>
      </c>
      <c r="E353" s="2">
        <f t="shared" si="1"/>
        <v>5359</v>
      </c>
      <c r="F353" s="2">
        <f t="shared" si="2"/>
        <v>160.77</v>
      </c>
      <c r="G353" s="2">
        <f t="shared" si="3"/>
        <v>0</v>
      </c>
      <c r="H353" s="2">
        <f t="shared" si="4"/>
        <v>31</v>
      </c>
      <c r="I353" s="2">
        <f t="shared" si="5"/>
        <v>2915</v>
      </c>
    </row>
    <row r="354" ht="15.75" customHeight="1">
      <c r="A354" s="3">
        <v>44971.0</v>
      </c>
      <c r="B354" s="2" t="s">
        <v>14</v>
      </c>
      <c r="C354" s="2" t="s">
        <v>15</v>
      </c>
      <c r="D354" s="2" t="s">
        <v>28</v>
      </c>
      <c r="E354" s="2">
        <f t="shared" si="1"/>
        <v>7314</v>
      </c>
      <c r="F354" s="2">
        <f t="shared" si="2"/>
        <v>438.84</v>
      </c>
      <c r="G354" s="2">
        <f t="shared" si="3"/>
        <v>741.6396</v>
      </c>
      <c r="H354" s="2">
        <f t="shared" si="4"/>
        <v>22</v>
      </c>
      <c r="I354" s="2">
        <f t="shared" si="5"/>
        <v>945</v>
      </c>
    </row>
    <row r="355" ht="15.75" customHeight="1">
      <c r="A355" s="3">
        <v>44971.0</v>
      </c>
      <c r="B355" s="2" t="s">
        <v>14</v>
      </c>
      <c r="C355" s="2" t="s">
        <v>17</v>
      </c>
      <c r="D355" s="2" t="s">
        <v>28</v>
      </c>
      <c r="E355" s="2">
        <f t="shared" si="1"/>
        <v>6225</v>
      </c>
      <c r="F355" s="2">
        <f t="shared" si="2"/>
        <v>435.75</v>
      </c>
      <c r="G355" s="2">
        <f t="shared" si="3"/>
        <v>762.5625</v>
      </c>
      <c r="H355" s="2">
        <f t="shared" si="4"/>
        <v>61</v>
      </c>
      <c r="I355" s="2">
        <f t="shared" si="5"/>
        <v>2762</v>
      </c>
    </row>
    <row r="356" ht="15.75" customHeight="1">
      <c r="A356" s="3">
        <v>44971.0</v>
      </c>
      <c r="B356" s="2" t="s">
        <v>20</v>
      </c>
      <c r="C356" s="2" t="s">
        <v>21</v>
      </c>
      <c r="D356" s="2" t="s">
        <v>16</v>
      </c>
      <c r="E356" s="2">
        <f t="shared" si="1"/>
        <v>4386</v>
      </c>
      <c r="F356" s="2">
        <f t="shared" si="2"/>
        <v>263.16</v>
      </c>
      <c r="G356" s="2">
        <f t="shared" si="3"/>
        <v>234.2124</v>
      </c>
      <c r="H356" s="2">
        <f t="shared" si="4"/>
        <v>13</v>
      </c>
      <c r="I356" s="2">
        <f t="shared" si="5"/>
        <v>3944</v>
      </c>
    </row>
    <row r="357" ht="15.75" customHeight="1">
      <c r="A357" s="3">
        <v>44971.0</v>
      </c>
      <c r="B357" s="2" t="s">
        <v>20</v>
      </c>
      <c r="C357" s="2" t="s">
        <v>23</v>
      </c>
      <c r="D357" s="2" t="s">
        <v>16</v>
      </c>
      <c r="E357" s="2">
        <f t="shared" si="1"/>
        <v>3774</v>
      </c>
      <c r="F357" s="2">
        <f t="shared" si="2"/>
        <v>226.44</v>
      </c>
      <c r="G357" s="2">
        <f t="shared" si="3"/>
        <v>228.7044</v>
      </c>
      <c r="H357" s="2">
        <f t="shared" si="4"/>
        <v>43</v>
      </c>
      <c r="I357" s="2">
        <f t="shared" si="5"/>
        <v>3467</v>
      </c>
    </row>
    <row r="358" ht="15.75" customHeight="1">
      <c r="A358" s="3">
        <v>44971.0</v>
      </c>
      <c r="B358" s="2" t="s">
        <v>26</v>
      </c>
      <c r="C358" s="2" t="s">
        <v>27</v>
      </c>
      <c r="D358" s="2" t="s">
        <v>13</v>
      </c>
      <c r="E358" s="2">
        <f t="shared" si="1"/>
        <v>14302</v>
      </c>
      <c r="F358" s="2">
        <f t="shared" si="2"/>
        <v>572.08</v>
      </c>
      <c r="G358" s="2">
        <f t="shared" si="3"/>
        <v>194.5072</v>
      </c>
      <c r="H358" s="2">
        <f t="shared" si="4"/>
        <v>97</v>
      </c>
      <c r="I358" s="2">
        <f t="shared" si="5"/>
        <v>3106</v>
      </c>
    </row>
    <row r="359" ht="15.75" customHeight="1">
      <c r="A359" s="3">
        <v>44971.0</v>
      </c>
      <c r="B359" s="2" t="s">
        <v>26</v>
      </c>
      <c r="C359" s="2" t="s">
        <v>31</v>
      </c>
      <c r="D359" s="2" t="s">
        <v>28</v>
      </c>
      <c r="E359" s="2">
        <f t="shared" si="1"/>
        <v>9337</v>
      </c>
      <c r="F359" s="2">
        <f t="shared" si="2"/>
        <v>840.33</v>
      </c>
      <c r="G359" s="2">
        <f t="shared" si="3"/>
        <v>630.2475</v>
      </c>
      <c r="H359" s="2">
        <f t="shared" si="4"/>
        <v>59</v>
      </c>
      <c r="I359" s="2">
        <f t="shared" si="5"/>
        <v>3803</v>
      </c>
    </row>
    <row r="360" ht="15.75" customHeight="1">
      <c r="A360" s="3">
        <v>44971.0</v>
      </c>
      <c r="B360" s="2" t="s">
        <v>33</v>
      </c>
      <c r="C360" s="2" t="s">
        <v>34</v>
      </c>
      <c r="D360" s="2" t="s">
        <v>13</v>
      </c>
      <c r="E360" s="2">
        <f t="shared" si="1"/>
        <v>2083</v>
      </c>
      <c r="F360" s="2">
        <f t="shared" si="2"/>
        <v>124.98</v>
      </c>
      <c r="G360" s="2">
        <f t="shared" si="3"/>
        <v>0</v>
      </c>
      <c r="H360" s="2">
        <f t="shared" si="4"/>
        <v>25</v>
      </c>
      <c r="I360" s="2">
        <f t="shared" si="5"/>
        <v>1775</v>
      </c>
    </row>
    <row r="361" ht="15.75" customHeight="1">
      <c r="A361" s="3">
        <v>44971.0</v>
      </c>
      <c r="B361" s="2" t="s">
        <v>33</v>
      </c>
      <c r="C361" s="2" t="s">
        <v>35</v>
      </c>
      <c r="D361" s="2" t="s">
        <v>32</v>
      </c>
      <c r="E361" s="2">
        <f t="shared" si="1"/>
        <v>2019</v>
      </c>
      <c r="F361" s="2">
        <f t="shared" si="2"/>
        <v>100.95</v>
      </c>
      <c r="G361" s="2">
        <f t="shared" si="3"/>
        <v>0</v>
      </c>
      <c r="H361" s="2">
        <f t="shared" si="4"/>
        <v>5</v>
      </c>
      <c r="I361" s="2">
        <f t="shared" si="5"/>
        <v>3850</v>
      </c>
    </row>
    <row r="362" ht="15.75" customHeight="1">
      <c r="A362" s="3">
        <v>44972.0</v>
      </c>
      <c r="B362" s="2" t="s">
        <v>14</v>
      </c>
      <c r="C362" s="2" t="s">
        <v>15</v>
      </c>
      <c r="D362" s="2" t="s">
        <v>25</v>
      </c>
      <c r="E362" s="2">
        <f t="shared" si="1"/>
        <v>9231</v>
      </c>
      <c r="F362" s="2">
        <f t="shared" si="2"/>
        <v>646.17</v>
      </c>
      <c r="G362" s="2">
        <f t="shared" si="3"/>
        <v>936.9465</v>
      </c>
      <c r="H362" s="2">
        <f t="shared" si="4"/>
        <v>84</v>
      </c>
      <c r="I362" s="2">
        <f t="shared" si="5"/>
        <v>3724</v>
      </c>
    </row>
    <row r="363" ht="15.75" customHeight="1">
      <c r="A363" s="3">
        <v>44972.0</v>
      </c>
      <c r="B363" s="2" t="s">
        <v>14</v>
      </c>
      <c r="C363" s="2" t="s">
        <v>17</v>
      </c>
      <c r="D363" s="2" t="s">
        <v>16</v>
      </c>
      <c r="E363" s="2">
        <f t="shared" si="1"/>
        <v>9580</v>
      </c>
      <c r="F363" s="2">
        <f t="shared" si="2"/>
        <v>958</v>
      </c>
      <c r="G363" s="2">
        <f t="shared" si="3"/>
        <v>1896.84</v>
      </c>
      <c r="H363" s="2">
        <f t="shared" si="4"/>
        <v>48</v>
      </c>
      <c r="I363" s="2">
        <f t="shared" si="5"/>
        <v>2072</v>
      </c>
    </row>
    <row r="364" ht="15.75" customHeight="1">
      <c r="A364" s="3">
        <v>44972.0</v>
      </c>
      <c r="B364" s="2" t="s">
        <v>20</v>
      </c>
      <c r="C364" s="2" t="s">
        <v>21</v>
      </c>
      <c r="D364" s="2" t="s">
        <v>32</v>
      </c>
      <c r="E364" s="2">
        <f t="shared" si="1"/>
        <v>5664</v>
      </c>
      <c r="F364" s="2">
        <f t="shared" si="2"/>
        <v>339.84</v>
      </c>
      <c r="G364" s="2">
        <f t="shared" si="3"/>
        <v>370.4256</v>
      </c>
      <c r="H364" s="2">
        <f t="shared" si="4"/>
        <v>20</v>
      </c>
      <c r="I364" s="2">
        <f t="shared" si="5"/>
        <v>1242</v>
      </c>
    </row>
    <row r="365" ht="15.75" customHeight="1">
      <c r="A365" s="3">
        <v>44972.0</v>
      </c>
      <c r="B365" s="2" t="s">
        <v>20</v>
      </c>
      <c r="C365" s="2" t="s">
        <v>23</v>
      </c>
      <c r="D365" s="2" t="s">
        <v>13</v>
      </c>
      <c r="E365" s="2">
        <f t="shared" si="1"/>
        <v>3971</v>
      </c>
      <c r="F365" s="2">
        <f t="shared" si="2"/>
        <v>198.55</v>
      </c>
      <c r="G365" s="2">
        <f t="shared" si="3"/>
        <v>311.7235</v>
      </c>
      <c r="H365" s="2">
        <f t="shared" si="4"/>
        <v>20</v>
      </c>
      <c r="I365" s="2">
        <f t="shared" si="5"/>
        <v>4557</v>
      </c>
    </row>
    <row r="366" ht="15.75" customHeight="1">
      <c r="A366" s="3">
        <v>44972.0</v>
      </c>
      <c r="B366" s="2" t="s">
        <v>26</v>
      </c>
      <c r="C366" s="2" t="s">
        <v>27</v>
      </c>
      <c r="D366" s="2" t="s">
        <v>28</v>
      </c>
      <c r="E366" s="2">
        <f t="shared" si="1"/>
        <v>14350</v>
      </c>
      <c r="F366" s="2">
        <f t="shared" si="2"/>
        <v>287</v>
      </c>
      <c r="G366" s="2">
        <f t="shared" si="3"/>
        <v>559.65</v>
      </c>
      <c r="H366" s="2">
        <f t="shared" si="4"/>
        <v>26</v>
      </c>
      <c r="I366" s="2">
        <f t="shared" si="5"/>
        <v>3024</v>
      </c>
    </row>
    <row r="367" ht="15.75" customHeight="1">
      <c r="A367" s="3">
        <v>44972.0</v>
      </c>
      <c r="B367" s="2" t="s">
        <v>26</v>
      </c>
      <c r="C367" s="2" t="s">
        <v>31</v>
      </c>
      <c r="D367" s="2" t="s">
        <v>16</v>
      </c>
      <c r="E367" s="2">
        <f t="shared" si="1"/>
        <v>11330</v>
      </c>
      <c r="F367" s="2">
        <f t="shared" si="2"/>
        <v>453.2</v>
      </c>
      <c r="G367" s="2">
        <f t="shared" si="3"/>
        <v>784.036</v>
      </c>
      <c r="H367" s="2">
        <f t="shared" si="4"/>
        <v>50</v>
      </c>
      <c r="I367" s="2">
        <f t="shared" si="5"/>
        <v>4881</v>
      </c>
    </row>
    <row r="368" ht="15.75" customHeight="1">
      <c r="A368" s="3">
        <v>44972.0</v>
      </c>
      <c r="B368" s="2" t="s">
        <v>33</v>
      </c>
      <c r="C368" s="2" t="s">
        <v>34</v>
      </c>
      <c r="D368" s="2" t="s">
        <v>28</v>
      </c>
      <c r="E368" s="2">
        <f t="shared" si="1"/>
        <v>3384</v>
      </c>
      <c r="F368" s="2">
        <f t="shared" si="2"/>
        <v>270.72</v>
      </c>
      <c r="G368" s="2">
        <f t="shared" si="3"/>
        <v>0</v>
      </c>
      <c r="H368" s="2">
        <f t="shared" si="4"/>
        <v>22</v>
      </c>
      <c r="I368" s="2">
        <f t="shared" si="5"/>
        <v>5000</v>
      </c>
    </row>
    <row r="369" ht="15.75" customHeight="1">
      <c r="A369" s="3">
        <v>44972.0</v>
      </c>
      <c r="B369" s="2" t="s">
        <v>33</v>
      </c>
      <c r="C369" s="2" t="s">
        <v>35</v>
      </c>
      <c r="D369" s="2" t="s">
        <v>32</v>
      </c>
      <c r="E369" s="2">
        <f t="shared" si="1"/>
        <v>4084</v>
      </c>
      <c r="F369" s="2">
        <f t="shared" si="2"/>
        <v>367.56</v>
      </c>
      <c r="G369" s="2">
        <f t="shared" si="3"/>
        <v>0</v>
      </c>
      <c r="H369" s="2">
        <f t="shared" si="4"/>
        <v>29</v>
      </c>
      <c r="I369" s="2">
        <f t="shared" si="5"/>
        <v>828</v>
      </c>
    </row>
    <row r="370" ht="15.75" customHeight="1">
      <c r="A370" s="3">
        <v>44973.0</v>
      </c>
      <c r="B370" s="2" t="s">
        <v>14</v>
      </c>
      <c r="C370" s="2" t="s">
        <v>15</v>
      </c>
      <c r="D370" s="2" t="s">
        <v>13</v>
      </c>
      <c r="E370" s="2">
        <f t="shared" si="1"/>
        <v>10813</v>
      </c>
      <c r="F370" s="2">
        <f t="shared" si="2"/>
        <v>1081.3</v>
      </c>
      <c r="G370" s="2">
        <f t="shared" si="3"/>
        <v>865.04</v>
      </c>
      <c r="H370" s="2">
        <f t="shared" si="4"/>
        <v>184</v>
      </c>
      <c r="I370" s="2">
        <f t="shared" si="5"/>
        <v>4349</v>
      </c>
    </row>
    <row r="371" ht="15.75" customHeight="1">
      <c r="A371" s="3">
        <v>44973.0</v>
      </c>
      <c r="B371" s="2" t="s">
        <v>14</v>
      </c>
      <c r="C371" s="2" t="s">
        <v>17</v>
      </c>
      <c r="D371" s="2" t="s">
        <v>18</v>
      </c>
      <c r="E371" s="2">
        <f t="shared" si="1"/>
        <v>7804</v>
      </c>
      <c r="F371" s="2">
        <f t="shared" si="2"/>
        <v>312.16</v>
      </c>
      <c r="G371" s="2">
        <f t="shared" si="3"/>
        <v>380.8352</v>
      </c>
      <c r="H371" s="2">
        <f t="shared" si="4"/>
        <v>16</v>
      </c>
      <c r="I371" s="2">
        <f t="shared" si="5"/>
        <v>3454</v>
      </c>
    </row>
    <row r="372" ht="15.75" customHeight="1">
      <c r="A372" s="3">
        <v>44973.0</v>
      </c>
      <c r="B372" s="2" t="s">
        <v>20</v>
      </c>
      <c r="C372" s="2" t="s">
        <v>21</v>
      </c>
      <c r="D372" s="2" t="s">
        <v>30</v>
      </c>
      <c r="E372" s="2">
        <f t="shared" si="1"/>
        <v>3035</v>
      </c>
      <c r="F372" s="2">
        <f t="shared" si="2"/>
        <v>151.75</v>
      </c>
      <c r="G372" s="2">
        <f t="shared" si="3"/>
        <v>270.115</v>
      </c>
      <c r="H372" s="2">
        <f t="shared" si="4"/>
        <v>14</v>
      </c>
      <c r="I372" s="2">
        <f t="shared" si="5"/>
        <v>768</v>
      </c>
    </row>
    <row r="373" ht="15.75" customHeight="1">
      <c r="A373" s="3">
        <v>44973.0</v>
      </c>
      <c r="B373" s="2" t="s">
        <v>20</v>
      </c>
      <c r="C373" s="2" t="s">
        <v>23</v>
      </c>
      <c r="D373" s="2" t="s">
        <v>19</v>
      </c>
      <c r="E373" s="2">
        <f t="shared" si="1"/>
        <v>4045</v>
      </c>
      <c r="F373" s="2">
        <f t="shared" si="2"/>
        <v>283.15</v>
      </c>
      <c r="G373" s="2">
        <f t="shared" si="3"/>
        <v>334.117</v>
      </c>
      <c r="H373" s="2">
        <f t="shared" si="4"/>
        <v>57</v>
      </c>
      <c r="I373" s="2">
        <f t="shared" si="5"/>
        <v>4502</v>
      </c>
    </row>
    <row r="374" ht="15.75" customHeight="1">
      <c r="A374" s="3">
        <v>44973.0</v>
      </c>
      <c r="B374" s="2" t="s">
        <v>26</v>
      </c>
      <c r="C374" s="2" t="s">
        <v>27</v>
      </c>
      <c r="D374" s="2" t="s">
        <v>32</v>
      </c>
      <c r="E374" s="2">
        <f t="shared" si="1"/>
        <v>9058</v>
      </c>
      <c r="F374" s="2">
        <f t="shared" si="2"/>
        <v>271.74</v>
      </c>
      <c r="G374" s="2">
        <f t="shared" si="3"/>
        <v>127.7178</v>
      </c>
      <c r="H374" s="2">
        <f t="shared" si="4"/>
        <v>22</v>
      </c>
      <c r="I374" s="2">
        <f t="shared" si="5"/>
        <v>2210</v>
      </c>
    </row>
    <row r="375" ht="15.75" customHeight="1">
      <c r="A375" s="3">
        <v>44973.0</v>
      </c>
      <c r="B375" s="2" t="s">
        <v>26</v>
      </c>
      <c r="C375" s="2" t="s">
        <v>31</v>
      </c>
      <c r="D375" s="2" t="s">
        <v>22</v>
      </c>
      <c r="E375" s="2">
        <f t="shared" si="1"/>
        <v>10393</v>
      </c>
      <c r="F375" s="2">
        <f t="shared" si="2"/>
        <v>1039.3</v>
      </c>
      <c r="G375" s="2">
        <f t="shared" si="3"/>
        <v>748.296</v>
      </c>
      <c r="H375" s="2">
        <f t="shared" si="4"/>
        <v>177</v>
      </c>
      <c r="I375" s="2">
        <f t="shared" si="5"/>
        <v>2232</v>
      </c>
    </row>
    <row r="376" ht="15.75" customHeight="1">
      <c r="A376" s="3">
        <v>44973.0</v>
      </c>
      <c r="B376" s="2" t="s">
        <v>33</v>
      </c>
      <c r="C376" s="2" t="s">
        <v>34</v>
      </c>
      <c r="D376" s="2" t="s">
        <v>25</v>
      </c>
      <c r="E376" s="2">
        <f t="shared" si="1"/>
        <v>4472</v>
      </c>
      <c r="F376" s="2">
        <f t="shared" si="2"/>
        <v>402.48</v>
      </c>
      <c r="G376" s="2">
        <f t="shared" si="3"/>
        <v>0</v>
      </c>
      <c r="H376" s="2">
        <f t="shared" si="4"/>
        <v>36</v>
      </c>
      <c r="I376" s="2">
        <f t="shared" si="5"/>
        <v>117</v>
      </c>
    </row>
    <row r="377" ht="15.75" customHeight="1">
      <c r="A377" s="3">
        <v>44973.0</v>
      </c>
      <c r="B377" s="2" t="s">
        <v>33</v>
      </c>
      <c r="C377" s="2" t="s">
        <v>35</v>
      </c>
      <c r="D377" s="2" t="s">
        <v>18</v>
      </c>
      <c r="E377" s="2">
        <f t="shared" si="1"/>
        <v>4184</v>
      </c>
      <c r="F377" s="2">
        <f t="shared" si="2"/>
        <v>125.52</v>
      </c>
      <c r="G377" s="2">
        <f t="shared" si="3"/>
        <v>0</v>
      </c>
      <c r="H377" s="2">
        <f t="shared" si="4"/>
        <v>24</v>
      </c>
      <c r="I377" s="2">
        <f t="shared" si="5"/>
        <v>1726</v>
      </c>
    </row>
    <row r="378" ht="15.75" customHeight="1">
      <c r="A378" s="3">
        <v>44974.0</v>
      </c>
      <c r="B378" s="2" t="s">
        <v>14</v>
      </c>
      <c r="C378" s="2" t="s">
        <v>15</v>
      </c>
      <c r="D378" s="2" t="s">
        <v>19</v>
      </c>
      <c r="E378" s="2">
        <f t="shared" si="1"/>
        <v>6930</v>
      </c>
      <c r="F378" s="2">
        <f t="shared" si="2"/>
        <v>207.9</v>
      </c>
      <c r="G378" s="2">
        <f t="shared" si="3"/>
        <v>212.058</v>
      </c>
      <c r="H378" s="2">
        <f t="shared" si="4"/>
        <v>23</v>
      </c>
      <c r="I378" s="2">
        <f t="shared" si="5"/>
        <v>3926</v>
      </c>
    </row>
    <row r="379" ht="15.75" customHeight="1">
      <c r="A379" s="3">
        <v>44974.0</v>
      </c>
      <c r="B379" s="2" t="s">
        <v>14</v>
      </c>
      <c r="C379" s="2" t="s">
        <v>17</v>
      </c>
      <c r="D379" s="2" t="s">
        <v>19</v>
      </c>
      <c r="E379" s="2">
        <f t="shared" si="1"/>
        <v>7261</v>
      </c>
      <c r="F379" s="2">
        <f t="shared" si="2"/>
        <v>726.1</v>
      </c>
      <c r="G379" s="2">
        <f t="shared" si="3"/>
        <v>1437.678</v>
      </c>
      <c r="H379" s="2">
        <f t="shared" si="4"/>
        <v>65</v>
      </c>
      <c r="I379" s="2">
        <f t="shared" si="5"/>
        <v>3955</v>
      </c>
    </row>
    <row r="380" ht="15.75" customHeight="1">
      <c r="A380" s="3">
        <v>44974.0</v>
      </c>
      <c r="B380" s="2" t="s">
        <v>20</v>
      </c>
      <c r="C380" s="2" t="s">
        <v>21</v>
      </c>
      <c r="D380" s="2" t="s">
        <v>28</v>
      </c>
      <c r="E380" s="2">
        <f t="shared" si="1"/>
        <v>5727</v>
      </c>
      <c r="F380" s="2">
        <f t="shared" si="2"/>
        <v>171.81</v>
      </c>
      <c r="G380" s="2">
        <f t="shared" si="3"/>
        <v>204.4539</v>
      </c>
      <c r="H380" s="2">
        <f t="shared" si="4"/>
        <v>27</v>
      </c>
      <c r="I380" s="2">
        <f t="shared" si="5"/>
        <v>1381</v>
      </c>
    </row>
    <row r="381" ht="15.75" customHeight="1">
      <c r="A381" s="3">
        <v>44974.0</v>
      </c>
      <c r="B381" s="2" t="s">
        <v>20</v>
      </c>
      <c r="C381" s="2" t="s">
        <v>23</v>
      </c>
      <c r="D381" s="2" t="s">
        <v>22</v>
      </c>
      <c r="E381" s="2">
        <f t="shared" si="1"/>
        <v>2058</v>
      </c>
      <c r="F381" s="2">
        <f t="shared" si="2"/>
        <v>61.74</v>
      </c>
      <c r="G381" s="2">
        <f t="shared" si="3"/>
        <v>27.783</v>
      </c>
      <c r="H381" s="2">
        <f t="shared" si="4"/>
        <v>11</v>
      </c>
      <c r="I381" s="2">
        <f t="shared" si="5"/>
        <v>2995</v>
      </c>
    </row>
    <row r="382" ht="15.75" customHeight="1">
      <c r="A382" s="3">
        <v>44974.0</v>
      </c>
      <c r="B382" s="2" t="s">
        <v>26</v>
      </c>
      <c r="C382" s="2" t="s">
        <v>27</v>
      </c>
      <c r="D382" s="2" t="s">
        <v>28</v>
      </c>
      <c r="E382" s="2">
        <f t="shared" si="1"/>
        <v>12084</v>
      </c>
      <c r="F382" s="2">
        <f t="shared" si="2"/>
        <v>241.68</v>
      </c>
      <c r="G382" s="2">
        <f t="shared" si="3"/>
        <v>118.4232</v>
      </c>
      <c r="H382" s="2">
        <f t="shared" si="4"/>
        <v>44</v>
      </c>
      <c r="I382" s="2">
        <f t="shared" si="5"/>
        <v>4847</v>
      </c>
    </row>
    <row r="383" ht="15.75" customHeight="1">
      <c r="A383" s="3">
        <v>44974.0</v>
      </c>
      <c r="B383" s="2" t="s">
        <v>26</v>
      </c>
      <c r="C383" s="2" t="s">
        <v>31</v>
      </c>
      <c r="D383" s="2" t="s">
        <v>18</v>
      </c>
      <c r="E383" s="2">
        <f t="shared" si="1"/>
        <v>11360</v>
      </c>
      <c r="F383" s="2">
        <f t="shared" si="2"/>
        <v>340.8</v>
      </c>
      <c r="G383" s="2">
        <f t="shared" si="3"/>
        <v>616.848</v>
      </c>
      <c r="H383" s="2">
        <f t="shared" si="4"/>
        <v>61</v>
      </c>
      <c r="I383" s="2">
        <f t="shared" si="5"/>
        <v>3817</v>
      </c>
    </row>
    <row r="384" ht="15.75" customHeight="1">
      <c r="A384" s="3">
        <v>44974.0</v>
      </c>
      <c r="B384" s="2" t="s">
        <v>33</v>
      </c>
      <c r="C384" s="2" t="s">
        <v>34</v>
      </c>
      <c r="D384" s="2" t="s">
        <v>30</v>
      </c>
      <c r="E384" s="2">
        <f t="shared" si="1"/>
        <v>4992</v>
      </c>
      <c r="F384" s="2">
        <f t="shared" si="2"/>
        <v>449.28</v>
      </c>
      <c r="G384" s="2">
        <f t="shared" si="3"/>
        <v>0</v>
      </c>
      <c r="H384" s="2">
        <f t="shared" si="4"/>
        <v>85</v>
      </c>
      <c r="I384" s="2">
        <f t="shared" si="5"/>
        <v>3493</v>
      </c>
    </row>
    <row r="385" ht="15.75" customHeight="1">
      <c r="A385" s="3">
        <v>44974.0</v>
      </c>
      <c r="B385" s="2" t="s">
        <v>33</v>
      </c>
      <c r="C385" s="2" t="s">
        <v>35</v>
      </c>
      <c r="D385" s="2" t="s">
        <v>19</v>
      </c>
      <c r="E385" s="2">
        <f t="shared" si="1"/>
        <v>4681</v>
      </c>
      <c r="F385" s="2">
        <f t="shared" si="2"/>
        <v>93.62</v>
      </c>
      <c r="G385" s="2">
        <f t="shared" si="3"/>
        <v>0</v>
      </c>
      <c r="H385" s="2">
        <f t="shared" si="4"/>
        <v>7</v>
      </c>
      <c r="I385" s="2">
        <f t="shared" si="5"/>
        <v>4653</v>
      </c>
    </row>
    <row r="386" ht="15.75" customHeight="1">
      <c r="A386" s="3">
        <v>44975.0</v>
      </c>
      <c r="B386" s="2" t="s">
        <v>14</v>
      </c>
      <c r="C386" s="2" t="s">
        <v>15</v>
      </c>
      <c r="D386" s="2" t="s">
        <v>19</v>
      </c>
      <c r="E386" s="2">
        <f t="shared" si="1"/>
        <v>5647</v>
      </c>
      <c r="F386" s="2">
        <f t="shared" si="2"/>
        <v>225.88</v>
      </c>
      <c r="G386" s="2">
        <f t="shared" si="3"/>
        <v>363.6668</v>
      </c>
      <c r="H386" s="2">
        <f t="shared" si="4"/>
        <v>38</v>
      </c>
      <c r="I386" s="2">
        <f t="shared" si="5"/>
        <v>1167</v>
      </c>
    </row>
    <row r="387" ht="15.75" customHeight="1">
      <c r="A387" s="3">
        <v>44975.0</v>
      </c>
      <c r="B387" s="2" t="s">
        <v>14</v>
      </c>
      <c r="C387" s="2" t="s">
        <v>17</v>
      </c>
      <c r="D387" s="2" t="s">
        <v>16</v>
      </c>
      <c r="E387" s="2">
        <f t="shared" si="1"/>
        <v>9266</v>
      </c>
      <c r="F387" s="2">
        <f t="shared" si="2"/>
        <v>648.62</v>
      </c>
      <c r="G387" s="2">
        <f t="shared" si="3"/>
        <v>830.2336</v>
      </c>
      <c r="H387" s="2">
        <f t="shared" si="4"/>
        <v>123</v>
      </c>
      <c r="I387" s="2">
        <f t="shared" si="5"/>
        <v>1064</v>
      </c>
    </row>
    <row r="388" ht="15.75" customHeight="1">
      <c r="A388" s="3">
        <v>44975.0</v>
      </c>
      <c r="B388" s="2" t="s">
        <v>20</v>
      </c>
      <c r="C388" s="2" t="s">
        <v>21</v>
      </c>
      <c r="D388" s="2" t="s">
        <v>16</v>
      </c>
      <c r="E388" s="2">
        <f t="shared" si="1"/>
        <v>2487</v>
      </c>
      <c r="F388" s="2">
        <f t="shared" si="2"/>
        <v>49.74</v>
      </c>
      <c r="G388" s="2">
        <f t="shared" si="3"/>
        <v>68.6412</v>
      </c>
      <c r="H388" s="2">
        <f t="shared" si="4"/>
        <v>5</v>
      </c>
      <c r="I388" s="2">
        <f t="shared" si="5"/>
        <v>212</v>
      </c>
    </row>
    <row r="389" ht="15.75" customHeight="1">
      <c r="A389" s="3">
        <v>44975.0</v>
      </c>
      <c r="B389" s="2" t="s">
        <v>20</v>
      </c>
      <c r="C389" s="2" t="s">
        <v>23</v>
      </c>
      <c r="D389" s="2" t="s">
        <v>25</v>
      </c>
      <c r="E389" s="2">
        <f t="shared" si="1"/>
        <v>2990</v>
      </c>
      <c r="F389" s="2">
        <f t="shared" si="2"/>
        <v>149.5</v>
      </c>
      <c r="G389" s="2">
        <f t="shared" si="3"/>
        <v>148.005</v>
      </c>
      <c r="H389" s="2">
        <f t="shared" si="4"/>
        <v>12</v>
      </c>
      <c r="I389" s="2">
        <f t="shared" si="5"/>
        <v>3087</v>
      </c>
    </row>
    <row r="390" ht="15.75" customHeight="1">
      <c r="A390" s="3">
        <v>44975.0</v>
      </c>
      <c r="B390" s="2" t="s">
        <v>26</v>
      </c>
      <c r="C390" s="2" t="s">
        <v>27</v>
      </c>
      <c r="D390" s="2" t="s">
        <v>30</v>
      </c>
      <c r="E390" s="2">
        <f t="shared" si="1"/>
        <v>13271</v>
      </c>
      <c r="F390" s="2">
        <f t="shared" si="2"/>
        <v>1194.39</v>
      </c>
      <c r="G390" s="2">
        <f t="shared" si="3"/>
        <v>382.2048</v>
      </c>
      <c r="H390" s="2">
        <f t="shared" si="4"/>
        <v>143</v>
      </c>
      <c r="I390" s="2">
        <f t="shared" si="5"/>
        <v>3064</v>
      </c>
    </row>
    <row r="391" ht="15.75" customHeight="1">
      <c r="A391" s="3">
        <v>44975.0</v>
      </c>
      <c r="B391" s="2" t="s">
        <v>26</v>
      </c>
      <c r="C391" s="2" t="s">
        <v>31</v>
      </c>
      <c r="D391" s="2" t="s">
        <v>25</v>
      </c>
      <c r="E391" s="2">
        <f t="shared" si="1"/>
        <v>8819</v>
      </c>
      <c r="F391" s="2">
        <f t="shared" si="2"/>
        <v>793.71</v>
      </c>
      <c r="G391" s="2">
        <f t="shared" si="3"/>
        <v>539.7228</v>
      </c>
      <c r="H391" s="2">
        <f t="shared" si="4"/>
        <v>95</v>
      </c>
      <c r="I391" s="2">
        <f t="shared" si="5"/>
        <v>1327</v>
      </c>
    </row>
    <row r="392" ht="15.75" customHeight="1">
      <c r="A392" s="3">
        <v>44975.0</v>
      </c>
      <c r="B392" s="2" t="s">
        <v>33</v>
      </c>
      <c r="C392" s="2" t="s">
        <v>34</v>
      </c>
      <c r="D392" s="2" t="s">
        <v>16</v>
      </c>
      <c r="E392" s="2">
        <f t="shared" si="1"/>
        <v>3146</v>
      </c>
      <c r="F392" s="2">
        <f t="shared" si="2"/>
        <v>94.38</v>
      </c>
      <c r="G392" s="2">
        <f t="shared" si="3"/>
        <v>0</v>
      </c>
      <c r="H392" s="2">
        <f t="shared" si="4"/>
        <v>5</v>
      </c>
      <c r="I392" s="2">
        <f t="shared" si="5"/>
        <v>1908</v>
      </c>
    </row>
    <row r="393" ht="15.75" customHeight="1">
      <c r="A393" s="3">
        <v>44975.0</v>
      </c>
      <c r="B393" s="2" t="s">
        <v>33</v>
      </c>
      <c r="C393" s="2" t="s">
        <v>35</v>
      </c>
      <c r="D393" s="2" t="s">
        <v>25</v>
      </c>
      <c r="E393" s="2">
        <f t="shared" si="1"/>
        <v>3499</v>
      </c>
      <c r="F393" s="2">
        <f t="shared" si="2"/>
        <v>174.95</v>
      </c>
      <c r="G393" s="2">
        <f t="shared" si="3"/>
        <v>0</v>
      </c>
      <c r="H393" s="2">
        <f t="shared" si="4"/>
        <v>28</v>
      </c>
      <c r="I393" s="2">
        <f t="shared" si="5"/>
        <v>3056</v>
      </c>
    </row>
    <row r="394" ht="15.75" customHeight="1">
      <c r="A394" s="3">
        <v>44976.0</v>
      </c>
      <c r="B394" s="2" t="s">
        <v>14</v>
      </c>
      <c r="C394" s="2" t="s">
        <v>15</v>
      </c>
      <c r="D394" s="2" t="s">
        <v>25</v>
      </c>
      <c r="E394" s="2">
        <f t="shared" si="1"/>
        <v>8218</v>
      </c>
      <c r="F394" s="2">
        <f t="shared" si="2"/>
        <v>575.26</v>
      </c>
      <c r="G394" s="2">
        <f t="shared" si="3"/>
        <v>460.208</v>
      </c>
      <c r="H394" s="2">
        <f t="shared" si="4"/>
        <v>92</v>
      </c>
      <c r="I394" s="2">
        <f t="shared" si="5"/>
        <v>1231</v>
      </c>
    </row>
    <row r="395" ht="15.75" customHeight="1">
      <c r="A395" s="3">
        <v>44976.0</v>
      </c>
      <c r="B395" s="2" t="s">
        <v>14</v>
      </c>
      <c r="C395" s="2" t="s">
        <v>17</v>
      </c>
      <c r="D395" s="2" t="s">
        <v>19</v>
      </c>
      <c r="E395" s="2">
        <f t="shared" si="1"/>
        <v>5575</v>
      </c>
      <c r="F395" s="2">
        <f t="shared" si="2"/>
        <v>223</v>
      </c>
      <c r="G395" s="2">
        <f t="shared" si="3"/>
        <v>178.4</v>
      </c>
      <c r="H395" s="2">
        <f t="shared" si="4"/>
        <v>18</v>
      </c>
      <c r="I395" s="2">
        <f t="shared" si="5"/>
        <v>2064</v>
      </c>
    </row>
    <row r="396" ht="15.75" customHeight="1">
      <c r="A396" s="3">
        <v>44976.0</v>
      </c>
      <c r="B396" s="2" t="s">
        <v>20</v>
      </c>
      <c r="C396" s="2" t="s">
        <v>21</v>
      </c>
      <c r="D396" s="2" t="s">
        <v>22</v>
      </c>
      <c r="E396" s="2">
        <f t="shared" si="1"/>
        <v>5036</v>
      </c>
      <c r="F396" s="2">
        <f t="shared" si="2"/>
        <v>251.8</v>
      </c>
      <c r="G396" s="2">
        <f t="shared" si="3"/>
        <v>246.764</v>
      </c>
      <c r="H396" s="2">
        <f t="shared" si="4"/>
        <v>18</v>
      </c>
      <c r="I396" s="2">
        <f t="shared" si="5"/>
        <v>1216</v>
      </c>
    </row>
    <row r="397" ht="15.75" customHeight="1">
      <c r="A397" s="3">
        <v>44976.0</v>
      </c>
      <c r="B397" s="2" t="s">
        <v>20</v>
      </c>
      <c r="C397" s="2" t="s">
        <v>23</v>
      </c>
      <c r="D397" s="2" t="s">
        <v>22</v>
      </c>
      <c r="E397" s="2">
        <f t="shared" si="1"/>
        <v>2400</v>
      </c>
      <c r="F397" s="2">
        <f t="shared" si="2"/>
        <v>240</v>
      </c>
      <c r="G397" s="2">
        <f t="shared" si="3"/>
        <v>261.6</v>
      </c>
      <c r="H397" s="2">
        <f t="shared" si="4"/>
        <v>24</v>
      </c>
      <c r="I397" s="2">
        <f t="shared" si="5"/>
        <v>4632</v>
      </c>
    </row>
    <row r="398" ht="15.75" customHeight="1">
      <c r="A398" s="3">
        <v>44976.0</v>
      </c>
      <c r="B398" s="2" t="s">
        <v>26</v>
      </c>
      <c r="C398" s="2" t="s">
        <v>27</v>
      </c>
      <c r="D398" s="2" t="s">
        <v>24</v>
      </c>
      <c r="E398" s="2">
        <f t="shared" si="1"/>
        <v>13590</v>
      </c>
      <c r="F398" s="2">
        <f t="shared" si="2"/>
        <v>543.6</v>
      </c>
      <c r="G398" s="2">
        <f t="shared" si="3"/>
        <v>277.236</v>
      </c>
      <c r="H398" s="2">
        <f t="shared" si="4"/>
        <v>60</v>
      </c>
      <c r="I398" s="2">
        <f t="shared" si="5"/>
        <v>703</v>
      </c>
    </row>
    <row r="399" ht="15.75" customHeight="1">
      <c r="A399" s="3">
        <v>44976.0</v>
      </c>
      <c r="B399" s="2" t="s">
        <v>26</v>
      </c>
      <c r="C399" s="2" t="s">
        <v>31</v>
      </c>
      <c r="D399" s="2" t="s">
        <v>25</v>
      </c>
      <c r="E399" s="2">
        <f t="shared" si="1"/>
        <v>11400</v>
      </c>
      <c r="F399" s="2">
        <f t="shared" si="2"/>
        <v>570</v>
      </c>
      <c r="G399" s="2">
        <f t="shared" si="3"/>
        <v>723.9</v>
      </c>
      <c r="H399" s="2">
        <f t="shared" si="4"/>
        <v>51</v>
      </c>
      <c r="I399" s="2">
        <f t="shared" si="5"/>
        <v>2031</v>
      </c>
    </row>
    <row r="400" ht="15.75" customHeight="1">
      <c r="A400" s="3">
        <v>44976.0</v>
      </c>
      <c r="B400" s="2" t="s">
        <v>33</v>
      </c>
      <c r="C400" s="2" t="s">
        <v>34</v>
      </c>
      <c r="D400" s="2" t="s">
        <v>30</v>
      </c>
      <c r="E400" s="2">
        <f t="shared" si="1"/>
        <v>5549</v>
      </c>
      <c r="F400" s="2">
        <f t="shared" si="2"/>
        <v>221.96</v>
      </c>
      <c r="G400" s="2">
        <f t="shared" si="3"/>
        <v>0</v>
      </c>
      <c r="H400" s="2">
        <f t="shared" si="4"/>
        <v>31</v>
      </c>
      <c r="I400" s="2">
        <f t="shared" si="5"/>
        <v>2634</v>
      </c>
    </row>
    <row r="401" ht="15.75" customHeight="1">
      <c r="A401" s="3">
        <v>44976.0</v>
      </c>
      <c r="B401" s="2" t="s">
        <v>33</v>
      </c>
      <c r="C401" s="2" t="s">
        <v>35</v>
      </c>
      <c r="D401" s="2" t="s">
        <v>25</v>
      </c>
      <c r="E401" s="2">
        <f t="shared" si="1"/>
        <v>2010</v>
      </c>
      <c r="F401" s="2">
        <f t="shared" si="2"/>
        <v>80.4</v>
      </c>
      <c r="G401" s="2">
        <f t="shared" si="3"/>
        <v>0</v>
      </c>
      <c r="H401" s="2">
        <f t="shared" si="4"/>
        <v>14</v>
      </c>
      <c r="I401" s="2">
        <f t="shared" si="5"/>
        <v>3723</v>
      </c>
    </row>
    <row r="402" ht="15.75" customHeight="1">
      <c r="A402" s="3">
        <v>44977.0</v>
      </c>
      <c r="B402" s="2" t="s">
        <v>14</v>
      </c>
      <c r="C402" s="2" t="s">
        <v>15</v>
      </c>
      <c r="D402" s="2" t="s">
        <v>13</v>
      </c>
      <c r="E402" s="2">
        <f t="shared" si="1"/>
        <v>10648</v>
      </c>
      <c r="F402" s="2">
        <f t="shared" si="2"/>
        <v>745.36</v>
      </c>
      <c r="G402" s="2">
        <f t="shared" si="3"/>
        <v>804.9888</v>
      </c>
      <c r="H402" s="2">
        <f t="shared" si="4"/>
        <v>127</v>
      </c>
      <c r="I402" s="2">
        <f t="shared" si="5"/>
        <v>3534</v>
      </c>
    </row>
    <row r="403" ht="15.75" customHeight="1">
      <c r="A403" s="3">
        <v>44977.0</v>
      </c>
      <c r="B403" s="2" t="s">
        <v>14</v>
      </c>
      <c r="C403" s="2" t="s">
        <v>17</v>
      </c>
      <c r="D403" s="2" t="s">
        <v>25</v>
      </c>
      <c r="E403" s="2">
        <f t="shared" si="1"/>
        <v>5692</v>
      </c>
      <c r="F403" s="2">
        <f t="shared" si="2"/>
        <v>170.76</v>
      </c>
      <c r="G403" s="2">
        <f t="shared" si="3"/>
        <v>112.7016</v>
      </c>
      <c r="H403" s="2">
        <f t="shared" si="4"/>
        <v>31</v>
      </c>
      <c r="I403" s="2">
        <f t="shared" si="5"/>
        <v>1969</v>
      </c>
    </row>
    <row r="404" ht="15.75" customHeight="1">
      <c r="A404" s="3">
        <v>44977.0</v>
      </c>
      <c r="B404" s="2" t="s">
        <v>20</v>
      </c>
      <c r="C404" s="2" t="s">
        <v>21</v>
      </c>
      <c r="D404" s="2" t="s">
        <v>16</v>
      </c>
      <c r="E404" s="2">
        <f t="shared" si="1"/>
        <v>3685</v>
      </c>
      <c r="F404" s="2">
        <f t="shared" si="2"/>
        <v>147.4</v>
      </c>
      <c r="G404" s="2">
        <f t="shared" si="3"/>
        <v>201.938</v>
      </c>
      <c r="H404" s="2">
        <f t="shared" si="4"/>
        <v>12</v>
      </c>
      <c r="I404" s="2">
        <f t="shared" si="5"/>
        <v>222</v>
      </c>
    </row>
    <row r="405" ht="15.75" customHeight="1">
      <c r="A405" s="3">
        <v>44977.0</v>
      </c>
      <c r="B405" s="2" t="s">
        <v>20</v>
      </c>
      <c r="C405" s="2" t="s">
        <v>23</v>
      </c>
      <c r="D405" s="2" t="s">
        <v>13</v>
      </c>
      <c r="E405" s="2">
        <f t="shared" si="1"/>
        <v>4034</v>
      </c>
      <c r="F405" s="2">
        <f t="shared" si="2"/>
        <v>322.72</v>
      </c>
      <c r="G405" s="2">
        <f t="shared" si="3"/>
        <v>180.7232</v>
      </c>
      <c r="H405" s="2">
        <f t="shared" si="4"/>
        <v>39</v>
      </c>
      <c r="I405" s="2">
        <f t="shared" si="5"/>
        <v>1138</v>
      </c>
    </row>
    <row r="406" ht="15.75" customHeight="1">
      <c r="A406" s="3">
        <v>44977.0</v>
      </c>
      <c r="B406" s="2" t="s">
        <v>26</v>
      </c>
      <c r="C406" s="2" t="s">
        <v>27</v>
      </c>
      <c r="D406" s="2" t="s">
        <v>19</v>
      </c>
      <c r="E406" s="2">
        <f t="shared" si="1"/>
        <v>14670</v>
      </c>
      <c r="F406" s="2">
        <f t="shared" si="2"/>
        <v>1467</v>
      </c>
      <c r="G406" s="2">
        <f t="shared" si="3"/>
        <v>630.81</v>
      </c>
      <c r="H406" s="2">
        <f t="shared" si="4"/>
        <v>176</v>
      </c>
      <c r="I406" s="2">
        <f t="shared" si="5"/>
        <v>188</v>
      </c>
    </row>
    <row r="407" ht="15.75" customHeight="1">
      <c r="A407" s="3">
        <v>44977.0</v>
      </c>
      <c r="B407" s="2" t="s">
        <v>26</v>
      </c>
      <c r="C407" s="2" t="s">
        <v>31</v>
      </c>
      <c r="D407" s="2" t="s">
        <v>19</v>
      </c>
      <c r="E407" s="2">
        <f t="shared" si="1"/>
        <v>12173</v>
      </c>
      <c r="F407" s="2">
        <f t="shared" si="2"/>
        <v>608.65</v>
      </c>
      <c r="G407" s="2">
        <f t="shared" si="3"/>
        <v>547.785</v>
      </c>
      <c r="H407" s="2">
        <f t="shared" si="4"/>
        <v>55</v>
      </c>
      <c r="I407" s="2">
        <f t="shared" si="5"/>
        <v>2749</v>
      </c>
    </row>
    <row r="408" ht="15.75" customHeight="1">
      <c r="A408" s="3">
        <v>44977.0</v>
      </c>
      <c r="B408" s="2" t="s">
        <v>33</v>
      </c>
      <c r="C408" s="2" t="s">
        <v>34</v>
      </c>
      <c r="D408" s="2" t="s">
        <v>18</v>
      </c>
      <c r="E408" s="2">
        <f t="shared" si="1"/>
        <v>2091</v>
      </c>
      <c r="F408" s="2">
        <f t="shared" si="2"/>
        <v>209.1</v>
      </c>
      <c r="G408" s="2">
        <f t="shared" si="3"/>
        <v>0</v>
      </c>
      <c r="H408" s="2">
        <f t="shared" si="4"/>
        <v>10</v>
      </c>
      <c r="I408" s="2">
        <f t="shared" si="5"/>
        <v>3891</v>
      </c>
    </row>
    <row r="409" ht="15.75" customHeight="1">
      <c r="A409" s="3">
        <v>44977.0</v>
      </c>
      <c r="B409" s="2" t="s">
        <v>33</v>
      </c>
      <c r="C409" s="2" t="s">
        <v>35</v>
      </c>
      <c r="D409" s="2" t="s">
        <v>22</v>
      </c>
      <c r="E409" s="2">
        <f t="shared" si="1"/>
        <v>4971</v>
      </c>
      <c r="F409" s="2">
        <f t="shared" si="2"/>
        <v>99.42</v>
      </c>
      <c r="G409" s="2">
        <f t="shared" si="3"/>
        <v>0</v>
      </c>
      <c r="H409" s="2">
        <f t="shared" si="4"/>
        <v>6</v>
      </c>
      <c r="I409" s="2">
        <f t="shared" si="5"/>
        <v>2266</v>
      </c>
    </row>
    <row r="410" ht="15.75" customHeight="1">
      <c r="A410" s="3">
        <v>44978.0</v>
      </c>
      <c r="B410" s="2" t="s">
        <v>14</v>
      </c>
      <c r="C410" s="2" t="s">
        <v>15</v>
      </c>
      <c r="D410" s="2" t="s">
        <v>18</v>
      </c>
      <c r="E410" s="2">
        <f t="shared" si="1"/>
        <v>8255</v>
      </c>
      <c r="F410" s="2">
        <f t="shared" si="2"/>
        <v>412.75</v>
      </c>
      <c r="G410" s="2">
        <f t="shared" si="3"/>
        <v>301.3075</v>
      </c>
      <c r="H410" s="2">
        <f t="shared" si="4"/>
        <v>74</v>
      </c>
      <c r="I410" s="2">
        <f t="shared" si="5"/>
        <v>821</v>
      </c>
    </row>
    <row r="411" ht="15.75" customHeight="1">
      <c r="A411" s="3">
        <v>44978.0</v>
      </c>
      <c r="B411" s="2" t="s">
        <v>14</v>
      </c>
      <c r="C411" s="2" t="s">
        <v>17</v>
      </c>
      <c r="D411" s="2" t="s">
        <v>25</v>
      </c>
      <c r="E411" s="2">
        <f t="shared" si="1"/>
        <v>9362</v>
      </c>
      <c r="F411" s="2">
        <f t="shared" si="2"/>
        <v>374.48</v>
      </c>
      <c r="G411" s="2">
        <f t="shared" si="3"/>
        <v>651.5952</v>
      </c>
      <c r="H411" s="2">
        <f t="shared" si="4"/>
        <v>41</v>
      </c>
      <c r="I411" s="2">
        <f t="shared" si="5"/>
        <v>2391</v>
      </c>
    </row>
    <row r="412" ht="15.75" customHeight="1">
      <c r="A412" s="3">
        <v>44978.0</v>
      </c>
      <c r="B412" s="2" t="s">
        <v>20</v>
      </c>
      <c r="C412" s="2" t="s">
        <v>21</v>
      </c>
      <c r="D412" s="2" t="s">
        <v>16</v>
      </c>
      <c r="E412" s="2">
        <f t="shared" si="1"/>
        <v>5047</v>
      </c>
      <c r="F412" s="2">
        <f t="shared" si="2"/>
        <v>252.35</v>
      </c>
      <c r="G412" s="2">
        <f t="shared" si="3"/>
        <v>305.3435</v>
      </c>
      <c r="H412" s="2">
        <f t="shared" si="4"/>
        <v>35</v>
      </c>
      <c r="I412" s="2">
        <f t="shared" si="5"/>
        <v>1186</v>
      </c>
    </row>
    <row r="413" ht="15.75" customHeight="1">
      <c r="A413" s="3">
        <v>44978.0</v>
      </c>
      <c r="B413" s="2" t="s">
        <v>20</v>
      </c>
      <c r="C413" s="2" t="s">
        <v>23</v>
      </c>
      <c r="D413" s="2" t="s">
        <v>24</v>
      </c>
      <c r="E413" s="2">
        <f t="shared" si="1"/>
        <v>5852</v>
      </c>
      <c r="F413" s="2">
        <f t="shared" si="2"/>
        <v>117.04</v>
      </c>
      <c r="G413" s="2">
        <f t="shared" si="3"/>
        <v>167.3672</v>
      </c>
      <c r="H413" s="2">
        <f t="shared" si="4"/>
        <v>9</v>
      </c>
      <c r="I413" s="2">
        <f t="shared" si="5"/>
        <v>3642</v>
      </c>
    </row>
    <row r="414" ht="15.75" customHeight="1">
      <c r="A414" s="3">
        <v>44978.0</v>
      </c>
      <c r="B414" s="2" t="s">
        <v>26</v>
      </c>
      <c r="C414" s="2" t="s">
        <v>27</v>
      </c>
      <c r="D414" s="2" t="s">
        <v>25</v>
      </c>
      <c r="E414" s="2">
        <f t="shared" si="1"/>
        <v>12202</v>
      </c>
      <c r="F414" s="2">
        <f t="shared" si="2"/>
        <v>732.12</v>
      </c>
      <c r="G414" s="2">
        <f t="shared" si="3"/>
        <v>1383.7068</v>
      </c>
      <c r="H414" s="2">
        <f t="shared" si="4"/>
        <v>95</v>
      </c>
      <c r="I414" s="2">
        <f t="shared" si="5"/>
        <v>155</v>
      </c>
    </row>
    <row r="415" ht="15.75" customHeight="1">
      <c r="A415" s="3">
        <v>44978.0</v>
      </c>
      <c r="B415" s="2" t="s">
        <v>26</v>
      </c>
      <c r="C415" s="2" t="s">
        <v>31</v>
      </c>
      <c r="D415" s="2" t="s">
        <v>24</v>
      </c>
      <c r="E415" s="2">
        <f t="shared" si="1"/>
        <v>8021</v>
      </c>
      <c r="F415" s="2">
        <f t="shared" si="2"/>
        <v>320.84</v>
      </c>
      <c r="G415" s="2">
        <f t="shared" si="3"/>
        <v>462.0096</v>
      </c>
      <c r="H415" s="2">
        <f t="shared" si="4"/>
        <v>35</v>
      </c>
      <c r="I415" s="2">
        <f t="shared" si="5"/>
        <v>3364</v>
      </c>
    </row>
    <row r="416" ht="15.75" customHeight="1">
      <c r="A416" s="3">
        <v>44978.0</v>
      </c>
      <c r="B416" s="2" t="s">
        <v>33</v>
      </c>
      <c r="C416" s="2" t="s">
        <v>34</v>
      </c>
      <c r="D416" s="2" t="s">
        <v>16</v>
      </c>
      <c r="E416" s="2">
        <f t="shared" si="1"/>
        <v>4208</v>
      </c>
      <c r="F416" s="2">
        <f t="shared" si="2"/>
        <v>210.4</v>
      </c>
      <c r="G416" s="2">
        <f t="shared" si="3"/>
        <v>0</v>
      </c>
      <c r="H416" s="2">
        <f t="shared" si="4"/>
        <v>32</v>
      </c>
      <c r="I416" s="2">
        <f t="shared" si="5"/>
        <v>4705</v>
      </c>
    </row>
    <row r="417" ht="15.75" customHeight="1">
      <c r="A417" s="3">
        <v>44978.0</v>
      </c>
      <c r="B417" s="2" t="s">
        <v>33</v>
      </c>
      <c r="C417" s="2" t="s">
        <v>35</v>
      </c>
      <c r="D417" s="2" t="s">
        <v>28</v>
      </c>
      <c r="E417" s="2">
        <f t="shared" si="1"/>
        <v>3542</v>
      </c>
      <c r="F417" s="2">
        <f t="shared" si="2"/>
        <v>247.94</v>
      </c>
      <c r="G417" s="2">
        <f t="shared" si="3"/>
        <v>0</v>
      </c>
      <c r="H417" s="2">
        <f t="shared" si="4"/>
        <v>20</v>
      </c>
      <c r="I417" s="2">
        <f t="shared" si="5"/>
        <v>3998</v>
      </c>
    </row>
    <row r="418" ht="15.75" customHeight="1">
      <c r="A418" s="3">
        <v>44979.0</v>
      </c>
      <c r="B418" s="2" t="s">
        <v>14</v>
      </c>
      <c r="C418" s="2" t="s">
        <v>15</v>
      </c>
      <c r="D418" s="2" t="s">
        <v>25</v>
      </c>
      <c r="E418" s="2">
        <f t="shared" si="1"/>
        <v>10214</v>
      </c>
      <c r="F418" s="2">
        <f t="shared" si="2"/>
        <v>510.7</v>
      </c>
      <c r="G418" s="2">
        <f t="shared" si="3"/>
        <v>418.774</v>
      </c>
      <c r="H418" s="2">
        <f t="shared" si="4"/>
        <v>77</v>
      </c>
      <c r="I418" s="2">
        <f t="shared" si="5"/>
        <v>3488</v>
      </c>
    </row>
    <row r="419" ht="15.75" customHeight="1">
      <c r="A419" s="3">
        <v>44979.0</v>
      </c>
      <c r="B419" s="2" t="s">
        <v>14</v>
      </c>
      <c r="C419" s="2" t="s">
        <v>17</v>
      </c>
      <c r="D419" s="2" t="s">
        <v>24</v>
      </c>
      <c r="E419" s="2">
        <f t="shared" si="1"/>
        <v>7188</v>
      </c>
      <c r="F419" s="2">
        <f t="shared" si="2"/>
        <v>359.4</v>
      </c>
      <c r="G419" s="2">
        <f t="shared" si="3"/>
        <v>456.438</v>
      </c>
      <c r="H419" s="2">
        <f t="shared" si="4"/>
        <v>72</v>
      </c>
      <c r="I419" s="2">
        <f t="shared" si="5"/>
        <v>2701</v>
      </c>
    </row>
    <row r="420" ht="15.75" customHeight="1">
      <c r="A420" s="3">
        <v>44979.0</v>
      </c>
      <c r="B420" s="2" t="s">
        <v>20</v>
      </c>
      <c r="C420" s="2" t="s">
        <v>21</v>
      </c>
      <c r="D420" s="2" t="s">
        <v>32</v>
      </c>
      <c r="E420" s="2">
        <f t="shared" si="1"/>
        <v>2691</v>
      </c>
      <c r="F420" s="2">
        <f t="shared" si="2"/>
        <v>215.28</v>
      </c>
      <c r="G420" s="2">
        <f t="shared" si="3"/>
        <v>299.2392</v>
      </c>
      <c r="H420" s="2">
        <f t="shared" si="4"/>
        <v>17</v>
      </c>
      <c r="I420" s="2">
        <f t="shared" si="5"/>
        <v>1923</v>
      </c>
    </row>
    <row r="421" ht="15.75" customHeight="1">
      <c r="A421" s="3">
        <v>44979.0</v>
      </c>
      <c r="B421" s="2" t="s">
        <v>20</v>
      </c>
      <c r="C421" s="2" t="s">
        <v>23</v>
      </c>
      <c r="D421" s="2" t="s">
        <v>24</v>
      </c>
      <c r="E421" s="2">
        <f t="shared" si="1"/>
        <v>2036</v>
      </c>
      <c r="F421" s="2">
        <f t="shared" si="2"/>
        <v>142.52</v>
      </c>
      <c r="G421" s="2">
        <f t="shared" si="3"/>
        <v>275.0636</v>
      </c>
      <c r="H421" s="2">
        <f t="shared" si="4"/>
        <v>20</v>
      </c>
      <c r="I421" s="2">
        <f t="shared" si="5"/>
        <v>3695</v>
      </c>
    </row>
    <row r="422" ht="15.75" customHeight="1">
      <c r="A422" s="3">
        <v>44979.0</v>
      </c>
      <c r="B422" s="2" t="s">
        <v>26</v>
      </c>
      <c r="C422" s="2" t="s">
        <v>27</v>
      </c>
      <c r="D422" s="2" t="s">
        <v>19</v>
      </c>
      <c r="E422" s="2">
        <f t="shared" si="1"/>
        <v>9182</v>
      </c>
      <c r="F422" s="2">
        <f t="shared" si="2"/>
        <v>459.1</v>
      </c>
      <c r="G422" s="2">
        <f t="shared" si="3"/>
        <v>224.959</v>
      </c>
      <c r="H422" s="2">
        <f t="shared" si="4"/>
        <v>51</v>
      </c>
      <c r="I422" s="2">
        <f t="shared" si="5"/>
        <v>3693</v>
      </c>
    </row>
    <row r="423" ht="15.75" customHeight="1">
      <c r="A423" s="3">
        <v>44979.0</v>
      </c>
      <c r="B423" s="2" t="s">
        <v>26</v>
      </c>
      <c r="C423" s="2" t="s">
        <v>31</v>
      </c>
      <c r="D423" s="2" t="s">
        <v>25</v>
      </c>
      <c r="E423" s="2">
        <f t="shared" si="1"/>
        <v>11561</v>
      </c>
      <c r="F423" s="2">
        <f t="shared" si="2"/>
        <v>1040.49</v>
      </c>
      <c r="G423" s="2">
        <f t="shared" si="3"/>
        <v>1165.3488</v>
      </c>
      <c r="H423" s="2">
        <f t="shared" si="4"/>
        <v>94</v>
      </c>
      <c r="I423" s="2">
        <f t="shared" si="5"/>
        <v>1694</v>
      </c>
    </row>
    <row r="424" ht="15.75" customHeight="1">
      <c r="A424" s="3">
        <v>44979.0</v>
      </c>
      <c r="B424" s="2" t="s">
        <v>33</v>
      </c>
      <c r="C424" s="2" t="s">
        <v>34</v>
      </c>
      <c r="D424" s="2" t="s">
        <v>30</v>
      </c>
      <c r="E424" s="2">
        <f t="shared" si="1"/>
        <v>5916</v>
      </c>
      <c r="F424" s="2">
        <f t="shared" si="2"/>
        <v>177.48</v>
      </c>
      <c r="G424" s="2">
        <f t="shared" si="3"/>
        <v>0</v>
      </c>
      <c r="H424" s="2">
        <f t="shared" si="4"/>
        <v>23</v>
      </c>
      <c r="I424" s="2">
        <f t="shared" si="5"/>
        <v>2874</v>
      </c>
    </row>
    <row r="425" ht="15.75" customHeight="1">
      <c r="A425" s="3">
        <v>44979.0</v>
      </c>
      <c r="B425" s="2" t="s">
        <v>33</v>
      </c>
      <c r="C425" s="2" t="s">
        <v>35</v>
      </c>
      <c r="D425" s="2" t="s">
        <v>25</v>
      </c>
      <c r="E425" s="2">
        <f t="shared" si="1"/>
        <v>5399</v>
      </c>
      <c r="F425" s="2">
        <f t="shared" si="2"/>
        <v>377.93</v>
      </c>
      <c r="G425" s="2">
        <f t="shared" si="3"/>
        <v>0</v>
      </c>
      <c r="H425" s="2">
        <f t="shared" si="4"/>
        <v>68</v>
      </c>
      <c r="I425" s="2">
        <f t="shared" si="5"/>
        <v>2943</v>
      </c>
    </row>
    <row r="426" ht="15.75" customHeight="1">
      <c r="A426" s="3">
        <v>44980.0</v>
      </c>
      <c r="B426" s="2" t="s">
        <v>14</v>
      </c>
      <c r="C426" s="2" t="s">
        <v>15</v>
      </c>
      <c r="D426" s="2" t="s">
        <v>16</v>
      </c>
      <c r="E426" s="2">
        <f t="shared" si="1"/>
        <v>6526</v>
      </c>
      <c r="F426" s="2">
        <f t="shared" si="2"/>
        <v>261.04</v>
      </c>
      <c r="G426" s="2">
        <f t="shared" si="3"/>
        <v>509.028</v>
      </c>
      <c r="H426" s="2">
        <f t="shared" si="4"/>
        <v>16</v>
      </c>
      <c r="I426" s="2">
        <f t="shared" si="5"/>
        <v>1397</v>
      </c>
    </row>
    <row r="427" ht="15.75" customHeight="1">
      <c r="A427" s="3">
        <v>44980.0</v>
      </c>
      <c r="B427" s="2" t="s">
        <v>14</v>
      </c>
      <c r="C427" s="2" t="s">
        <v>17</v>
      </c>
      <c r="D427" s="2" t="s">
        <v>22</v>
      </c>
      <c r="E427" s="2">
        <f t="shared" si="1"/>
        <v>9742</v>
      </c>
      <c r="F427" s="2">
        <f t="shared" si="2"/>
        <v>876.78</v>
      </c>
      <c r="G427" s="2">
        <f t="shared" si="3"/>
        <v>499.7646</v>
      </c>
      <c r="H427" s="2">
        <f t="shared" si="4"/>
        <v>158</v>
      </c>
      <c r="I427" s="2">
        <f t="shared" si="5"/>
        <v>3975</v>
      </c>
    </row>
    <row r="428" ht="15.75" customHeight="1">
      <c r="A428" s="3">
        <v>44980.0</v>
      </c>
      <c r="B428" s="2" t="s">
        <v>20</v>
      </c>
      <c r="C428" s="2" t="s">
        <v>21</v>
      </c>
      <c r="D428" s="2" t="s">
        <v>18</v>
      </c>
      <c r="E428" s="2">
        <f t="shared" si="1"/>
        <v>4678</v>
      </c>
      <c r="F428" s="2">
        <f t="shared" si="2"/>
        <v>187.12</v>
      </c>
      <c r="G428" s="2">
        <f t="shared" si="3"/>
        <v>202.0896</v>
      </c>
      <c r="H428" s="2">
        <f t="shared" si="4"/>
        <v>28</v>
      </c>
      <c r="I428" s="2">
        <f t="shared" si="5"/>
        <v>1595</v>
      </c>
    </row>
    <row r="429" ht="15.75" customHeight="1">
      <c r="A429" s="3">
        <v>44980.0</v>
      </c>
      <c r="B429" s="2" t="s">
        <v>20</v>
      </c>
      <c r="C429" s="2" t="s">
        <v>23</v>
      </c>
      <c r="D429" s="2" t="s">
        <v>25</v>
      </c>
      <c r="E429" s="2">
        <f t="shared" si="1"/>
        <v>5466</v>
      </c>
      <c r="F429" s="2">
        <f t="shared" si="2"/>
        <v>218.64</v>
      </c>
      <c r="G429" s="2">
        <f t="shared" si="3"/>
        <v>185.844</v>
      </c>
      <c r="H429" s="2">
        <f t="shared" si="4"/>
        <v>35</v>
      </c>
      <c r="I429" s="2">
        <f t="shared" si="5"/>
        <v>4463</v>
      </c>
    </row>
    <row r="430" ht="15.75" customHeight="1">
      <c r="A430" s="3">
        <v>44980.0</v>
      </c>
      <c r="B430" s="2" t="s">
        <v>26</v>
      </c>
      <c r="C430" s="2" t="s">
        <v>27</v>
      </c>
      <c r="D430" s="2" t="s">
        <v>24</v>
      </c>
      <c r="E430" s="2">
        <f t="shared" si="1"/>
        <v>10758</v>
      </c>
      <c r="F430" s="2">
        <f t="shared" si="2"/>
        <v>968.22</v>
      </c>
      <c r="G430" s="2">
        <f t="shared" si="3"/>
        <v>1365.1902</v>
      </c>
      <c r="H430" s="2">
        <f t="shared" si="4"/>
        <v>87</v>
      </c>
      <c r="I430" s="2">
        <f t="shared" si="5"/>
        <v>3996</v>
      </c>
    </row>
    <row r="431" ht="15.75" customHeight="1">
      <c r="A431" s="3">
        <v>44980.0</v>
      </c>
      <c r="B431" s="2" t="s">
        <v>26</v>
      </c>
      <c r="C431" s="2" t="s">
        <v>31</v>
      </c>
      <c r="D431" s="2" t="s">
        <v>19</v>
      </c>
      <c r="E431" s="2">
        <f t="shared" si="1"/>
        <v>14951</v>
      </c>
      <c r="F431" s="2">
        <f t="shared" si="2"/>
        <v>1495.1</v>
      </c>
      <c r="G431" s="2">
        <f t="shared" si="3"/>
        <v>2616.425</v>
      </c>
      <c r="H431" s="2">
        <f t="shared" si="4"/>
        <v>224</v>
      </c>
      <c r="I431" s="2">
        <f t="shared" si="5"/>
        <v>988</v>
      </c>
    </row>
    <row r="432" ht="15.75" customHeight="1">
      <c r="A432" s="3">
        <v>44980.0</v>
      </c>
      <c r="B432" s="2" t="s">
        <v>33</v>
      </c>
      <c r="C432" s="2" t="s">
        <v>34</v>
      </c>
      <c r="D432" s="2" t="s">
        <v>25</v>
      </c>
      <c r="E432" s="2">
        <f t="shared" si="1"/>
        <v>4036</v>
      </c>
      <c r="F432" s="2">
        <f t="shared" si="2"/>
        <v>242.16</v>
      </c>
      <c r="G432" s="2">
        <f t="shared" si="3"/>
        <v>0</v>
      </c>
      <c r="H432" s="2">
        <f t="shared" si="4"/>
        <v>39</v>
      </c>
      <c r="I432" s="2">
        <f t="shared" si="5"/>
        <v>4497</v>
      </c>
    </row>
    <row r="433" ht="15.75" customHeight="1">
      <c r="A433" s="3">
        <v>44980.0</v>
      </c>
      <c r="B433" s="2" t="s">
        <v>33</v>
      </c>
      <c r="C433" s="2" t="s">
        <v>35</v>
      </c>
      <c r="D433" s="2" t="s">
        <v>18</v>
      </c>
      <c r="E433" s="2">
        <f t="shared" si="1"/>
        <v>4943</v>
      </c>
      <c r="F433" s="2">
        <f t="shared" si="2"/>
        <v>494.3</v>
      </c>
      <c r="G433" s="2">
        <f t="shared" si="3"/>
        <v>0</v>
      </c>
      <c r="H433" s="2">
        <f t="shared" si="4"/>
        <v>44</v>
      </c>
      <c r="I433" s="2">
        <f t="shared" si="5"/>
        <v>4442</v>
      </c>
    </row>
    <row r="434" ht="15.75" customHeight="1">
      <c r="A434" s="3">
        <v>44980.0</v>
      </c>
      <c r="B434" s="2" t="s">
        <v>14</v>
      </c>
      <c r="C434" s="2" t="s">
        <v>15</v>
      </c>
      <c r="D434" s="2" t="s">
        <v>13</v>
      </c>
      <c r="E434" s="2">
        <f t="shared" si="1"/>
        <v>5394</v>
      </c>
      <c r="F434" s="2">
        <f t="shared" si="2"/>
        <v>161.82</v>
      </c>
      <c r="G434" s="2">
        <f t="shared" si="3"/>
        <v>134.3106</v>
      </c>
      <c r="H434" s="2">
        <f t="shared" si="4"/>
        <v>24</v>
      </c>
      <c r="I434" s="2">
        <f t="shared" si="5"/>
        <v>2122</v>
      </c>
    </row>
    <row r="435" ht="15.75" customHeight="1">
      <c r="A435" s="3">
        <v>44980.0</v>
      </c>
      <c r="B435" s="2" t="s">
        <v>14</v>
      </c>
      <c r="C435" s="2" t="s">
        <v>17</v>
      </c>
      <c r="D435" s="2" t="s">
        <v>13</v>
      </c>
      <c r="E435" s="2">
        <f t="shared" si="1"/>
        <v>5075</v>
      </c>
      <c r="F435" s="2">
        <f t="shared" si="2"/>
        <v>406</v>
      </c>
      <c r="G435" s="2">
        <f t="shared" si="3"/>
        <v>410.06</v>
      </c>
      <c r="H435" s="2">
        <f t="shared" si="4"/>
        <v>77</v>
      </c>
      <c r="I435" s="2">
        <f t="shared" si="5"/>
        <v>3660</v>
      </c>
    </row>
    <row r="436" ht="15.75" customHeight="1">
      <c r="A436" s="3">
        <v>44980.0</v>
      </c>
      <c r="B436" s="2" t="s">
        <v>20</v>
      </c>
      <c r="C436" s="2" t="s">
        <v>21</v>
      </c>
      <c r="D436" s="2" t="s">
        <v>28</v>
      </c>
      <c r="E436" s="2">
        <f t="shared" si="1"/>
        <v>2817</v>
      </c>
      <c r="F436" s="2">
        <f t="shared" si="2"/>
        <v>169.02</v>
      </c>
      <c r="G436" s="2">
        <f t="shared" si="3"/>
        <v>278.883</v>
      </c>
      <c r="H436" s="2">
        <f t="shared" si="4"/>
        <v>8</v>
      </c>
      <c r="I436" s="2">
        <f t="shared" si="5"/>
        <v>4981</v>
      </c>
    </row>
    <row r="437" ht="15.75" customHeight="1">
      <c r="A437" s="3">
        <v>44980.0</v>
      </c>
      <c r="B437" s="2" t="s">
        <v>20</v>
      </c>
      <c r="C437" s="2" t="s">
        <v>23</v>
      </c>
      <c r="D437" s="2" t="s">
        <v>24</v>
      </c>
      <c r="E437" s="2">
        <f t="shared" si="1"/>
        <v>4170</v>
      </c>
      <c r="F437" s="2">
        <f t="shared" si="2"/>
        <v>166.8</v>
      </c>
      <c r="G437" s="2">
        <f t="shared" si="3"/>
        <v>330.264</v>
      </c>
      <c r="H437" s="2">
        <f t="shared" si="4"/>
        <v>32</v>
      </c>
      <c r="I437" s="2">
        <f t="shared" si="5"/>
        <v>164</v>
      </c>
    </row>
    <row r="438" ht="15.75" customHeight="1">
      <c r="A438" s="3">
        <v>44980.0</v>
      </c>
      <c r="B438" s="2" t="s">
        <v>26</v>
      </c>
      <c r="C438" s="2" t="s">
        <v>27</v>
      </c>
      <c r="D438" s="2" t="s">
        <v>30</v>
      </c>
      <c r="E438" s="2">
        <f t="shared" si="1"/>
        <v>13172</v>
      </c>
      <c r="F438" s="2">
        <f t="shared" si="2"/>
        <v>1185.48</v>
      </c>
      <c r="G438" s="2">
        <f t="shared" si="3"/>
        <v>1979.7516</v>
      </c>
      <c r="H438" s="2">
        <f t="shared" si="4"/>
        <v>166</v>
      </c>
      <c r="I438" s="2">
        <f t="shared" si="5"/>
        <v>3651</v>
      </c>
    </row>
    <row r="439" ht="15.75" customHeight="1">
      <c r="A439" s="3">
        <v>44980.0</v>
      </c>
      <c r="B439" s="2" t="s">
        <v>26</v>
      </c>
      <c r="C439" s="2" t="s">
        <v>31</v>
      </c>
      <c r="D439" s="2" t="s">
        <v>16</v>
      </c>
      <c r="E439" s="2">
        <f t="shared" si="1"/>
        <v>13690</v>
      </c>
      <c r="F439" s="2">
        <f t="shared" si="2"/>
        <v>821.4</v>
      </c>
      <c r="G439" s="2">
        <f t="shared" si="3"/>
        <v>1117.104</v>
      </c>
      <c r="H439" s="2">
        <f t="shared" si="4"/>
        <v>156</v>
      </c>
      <c r="I439" s="2">
        <f t="shared" si="5"/>
        <v>3720</v>
      </c>
    </row>
    <row r="440" ht="15.75" customHeight="1">
      <c r="A440" s="3">
        <v>44980.0</v>
      </c>
      <c r="B440" s="2" t="s">
        <v>33</v>
      </c>
      <c r="C440" s="2" t="s">
        <v>34</v>
      </c>
      <c r="D440" s="2" t="s">
        <v>16</v>
      </c>
      <c r="E440" s="2">
        <f t="shared" si="1"/>
        <v>2987</v>
      </c>
      <c r="F440" s="2">
        <f t="shared" si="2"/>
        <v>209.09</v>
      </c>
      <c r="G440" s="2">
        <f t="shared" si="3"/>
        <v>0</v>
      </c>
      <c r="H440" s="2">
        <f t="shared" si="4"/>
        <v>36</v>
      </c>
      <c r="I440" s="2">
        <f t="shared" si="5"/>
        <v>1134</v>
      </c>
    </row>
    <row r="441" ht="15.75" customHeight="1">
      <c r="A441" s="3">
        <v>44980.0</v>
      </c>
      <c r="B441" s="2" t="s">
        <v>33</v>
      </c>
      <c r="C441" s="2" t="s">
        <v>35</v>
      </c>
      <c r="D441" s="2" t="s">
        <v>16</v>
      </c>
      <c r="E441" s="2">
        <f t="shared" si="1"/>
        <v>3651</v>
      </c>
      <c r="F441" s="2">
        <f t="shared" si="2"/>
        <v>255.57</v>
      </c>
      <c r="G441" s="2">
        <f t="shared" si="3"/>
        <v>0</v>
      </c>
      <c r="H441" s="2">
        <f t="shared" si="4"/>
        <v>18</v>
      </c>
      <c r="I441" s="2">
        <f t="shared" si="5"/>
        <v>1643</v>
      </c>
    </row>
    <row r="442" ht="15.75" customHeight="1">
      <c r="A442" s="3">
        <v>44981.0</v>
      </c>
      <c r="B442" s="2" t="s">
        <v>14</v>
      </c>
      <c r="C442" s="2" t="s">
        <v>15</v>
      </c>
      <c r="D442" s="2" t="s">
        <v>24</v>
      </c>
      <c r="E442" s="2">
        <f t="shared" si="1"/>
        <v>8438</v>
      </c>
      <c r="F442" s="2">
        <f t="shared" si="2"/>
        <v>168.76</v>
      </c>
      <c r="G442" s="2">
        <f t="shared" si="3"/>
        <v>300.3928</v>
      </c>
      <c r="H442" s="2">
        <f t="shared" si="4"/>
        <v>19</v>
      </c>
      <c r="I442" s="2">
        <f t="shared" si="5"/>
        <v>1523</v>
      </c>
    </row>
    <row r="443" ht="15.75" customHeight="1">
      <c r="A443" s="3">
        <v>44981.0</v>
      </c>
      <c r="B443" s="2" t="s">
        <v>14</v>
      </c>
      <c r="C443" s="2" t="s">
        <v>17</v>
      </c>
      <c r="D443" s="2" t="s">
        <v>13</v>
      </c>
      <c r="E443" s="2">
        <f t="shared" si="1"/>
        <v>10042</v>
      </c>
      <c r="F443" s="2">
        <f t="shared" si="2"/>
        <v>803.36</v>
      </c>
      <c r="G443" s="2">
        <f t="shared" si="3"/>
        <v>281.176</v>
      </c>
      <c r="H443" s="2">
        <f t="shared" si="4"/>
        <v>153</v>
      </c>
      <c r="I443" s="2">
        <f t="shared" si="5"/>
        <v>4276</v>
      </c>
    </row>
    <row r="444" ht="15.75" customHeight="1">
      <c r="A444" s="3">
        <v>44981.0</v>
      </c>
      <c r="B444" s="2" t="s">
        <v>20</v>
      </c>
      <c r="C444" s="2" t="s">
        <v>21</v>
      </c>
      <c r="D444" s="2" t="s">
        <v>13</v>
      </c>
      <c r="E444" s="2">
        <f t="shared" si="1"/>
        <v>5579</v>
      </c>
      <c r="F444" s="2">
        <f t="shared" si="2"/>
        <v>446.32</v>
      </c>
      <c r="G444" s="2">
        <f t="shared" si="3"/>
        <v>830.1552</v>
      </c>
      <c r="H444" s="2">
        <f t="shared" si="4"/>
        <v>54</v>
      </c>
      <c r="I444" s="2">
        <f t="shared" si="5"/>
        <v>4725</v>
      </c>
    </row>
    <row r="445" ht="15.75" customHeight="1">
      <c r="A445" s="3">
        <v>44981.0</v>
      </c>
      <c r="B445" s="2" t="s">
        <v>20</v>
      </c>
      <c r="C445" s="2" t="s">
        <v>23</v>
      </c>
      <c r="D445" s="2" t="s">
        <v>32</v>
      </c>
      <c r="E445" s="2">
        <f t="shared" si="1"/>
        <v>2314</v>
      </c>
      <c r="F445" s="2">
        <f t="shared" si="2"/>
        <v>46.28</v>
      </c>
      <c r="G445" s="2">
        <f t="shared" si="3"/>
        <v>46.7428</v>
      </c>
      <c r="H445" s="2">
        <f t="shared" si="4"/>
        <v>8</v>
      </c>
      <c r="I445" s="2">
        <f t="shared" si="5"/>
        <v>985</v>
      </c>
    </row>
    <row r="446" ht="15.75" customHeight="1">
      <c r="A446" s="3">
        <v>44981.0</v>
      </c>
      <c r="B446" s="2" t="s">
        <v>26</v>
      </c>
      <c r="C446" s="2" t="s">
        <v>27</v>
      </c>
      <c r="D446" s="2" t="s">
        <v>28</v>
      </c>
      <c r="E446" s="2">
        <f t="shared" si="1"/>
        <v>8036</v>
      </c>
      <c r="F446" s="2">
        <f t="shared" si="2"/>
        <v>241.08</v>
      </c>
      <c r="G446" s="2">
        <f t="shared" si="3"/>
        <v>120.54</v>
      </c>
      <c r="H446" s="2">
        <f t="shared" si="4"/>
        <v>46</v>
      </c>
      <c r="I446" s="2">
        <f t="shared" si="5"/>
        <v>2474</v>
      </c>
    </row>
    <row r="447" ht="15.75" customHeight="1">
      <c r="A447" s="3">
        <v>44981.0</v>
      </c>
      <c r="B447" s="2" t="s">
        <v>26</v>
      </c>
      <c r="C447" s="2" t="s">
        <v>31</v>
      </c>
      <c r="D447" s="2" t="s">
        <v>22</v>
      </c>
      <c r="E447" s="2">
        <f t="shared" si="1"/>
        <v>11236</v>
      </c>
      <c r="F447" s="2">
        <f t="shared" si="2"/>
        <v>449.44</v>
      </c>
      <c r="G447" s="2">
        <f t="shared" si="3"/>
        <v>431.4624</v>
      </c>
      <c r="H447" s="2">
        <f t="shared" si="4"/>
        <v>45</v>
      </c>
      <c r="I447" s="2">
        <f t="shared" si="5"/>
        <v>894</v>
      </c>
    </row>
    <row r="448" ht="15.75" customHeight="1">
      <c r="A448" s="3">
        <v>44981.0</v>
      </c>
      <c r="B448" s="2" t="s">
        <v>33</v>
      </c>
      <c r="C448" s="2" t="s">
        <v>34</v>
      </c>
      <c r="D448" s="2" t="s">
        <v>30</v>
      </c>
      <c r="E448" s="2">
        <f t="shared" si="1"/>
        <v>2527</v>
      </c>
      <c r="F448" s="2">
        <f t="shared" si="2"/>
        <v>202.16</v>
      </c>
      <c r="G448" s="2">
        <f t="shared" si="3"/>
        <v>0</v>
      </c>
      <c r="H448" s="2">
        <f t="shared" si="4"/>
        <v>40</v>
      </c>
      <c r="I448" s="2">
        <f t="shared" si="5"/>
        <v>4206</v>
      </c>
    </row>
    <row r="449" ht="15.75" customHeight="1">
      <c r="A449" s="3">
        <v>44981.0</v>
      </c>
      <c r="B449" s="2" t="s">
        <v>33</v>
      </c>
      <c r="C449" s="2" t="s">
        <v>35</v>
      </c>
      <c r="D449" s="2" t="s">
        <v>22</v>
      </c>
      <c r="E449" s="2">
        <f t="shared" si="1"/>
        <v>3549</v>
      </c>
      <c r="F449" s="2">
        <f t="shared" si="2"/>
        <v>248.43</v>
      </c>
      <c r="G449" s="2">
        <f t="shared" si="3"/>
        <v>0</v>
      </c>
      <c r="H449" s="2">
        <f t="shared" si="4"/>
        <v>45</v>
      </c>
      <c r="I449" s="2">
        <f t="shared" si="5"/>
        <v>3587</v>
      </c>
    </row>
    <row r="450" ht="15.75" customHeight="1">
      <c r="A450" s="3">
        <v>44982.0</v>
      </c>
      <c r="B450" s="2" t="s">
        <v>14</v>
      </c>
      <c r="C450" s="2" t="s">
        <v>15</v>
      </c>
      <c r="D450" s="2" t="s">
        <v>25</v>
      </c>
      <c r="E450" s="2">
        <f t="shared" si="1"/>
        <v>8742</v>
      </c>
      <c r="F450" s="2">
        <f t="shared" si="2"/>
        <v>786.78</v>
      </c>
      <c r="G450" s="2">
        <f t="shared" si="3"/>
        <v>1282.4514</v>
      </c>
      <c r="H450" s="2">
        <f t="shared" si="4"/>
        <v>118</v>
      </c>
      <c r="I450" s="2">
        <f t="shared" si="5"/>
        <v>3531</v>
      </c>
    </row>
    <row r="451" ht="15.75" customHeight="1">
      <c r="A451" s="3">
        <v>44982.0</v>
      </c>
      <c r="B451" s="2" t="s">
        <v>14</v>
      </c>
      <c r="C451" s="2" t="s">
        <v>17</v>
      </c>
      <c r="D451" s="2" t="s">
        <v>16</v>
      </c>
      <c r="E451" s="2">
        <f t="shared" si="1"/>
        <v>10302</v>
      </c>
      <c r="F451" s="2">
        <f t="shared" si="2"/>
        <v>515.1</v>
      </c>
      <c r="G451" s="2">
        <f t="shared" si="3"/>
        <v>473.892</v>
      </c>
      <c r="H451" s="2">
        <f t="shared" si="4"/>
        <v>77</v>
      </c>
      <c r="I451" s="2">
        <f t="shared" si="5"/>
        <v>1862</v>
      </c>
    </row>
    <row r="452" ht="15.75" customHeight="1">
      <c r="A452" s="3">
        <v>44982.0</v>
      </c>
      <c r="B452" s="2" t="s">
        <v>20</v>
      </c>
      <c r="C452" s="2" t="s">
        <v>21</v>
      </c>
      <c r="D452" s="2" t="s">
        <v>19</v>
      </c>
      <c r="E452" s="2">
        <f t="shared" si="1"/>
        <v>5525</v>
      </c>
      <c r="F452" s="2">
        <f t="shared" si="2"/>
        <v>386.75</v>
      </c>
      <c r="G452" s="2">
        <f t="shared" si="3"/>
        <v>583.9925</v>
      </c>
      <c r="H452" s="2">
        <f t="shared" si="4"/>
        <v>66</v>
      </c>
      <c r="I452" s="2">
        <f t="shared" si="5"/>
        <v>2382</v>
      </c>
    </row>
    <row r="453" ht="15.75" customHeight="1">
      <c r="A453" s="3">
        <v>44982.0</v>
      </c>
      <c r="B453" s="2" t="s">
        <v>20</v>
      </c>
      <c r="C453" s="2" t="s">
        <v>23</v>
      </c>
      <c r="D453" s="2" t="s">
        <v>18</v>
      </c>
      <c r="E453" s="2">
        <f t="shared" si="1"/>
        <v>5179</v>
      </c>
      <c r="F453" s="2">
        <f t="shared" si="2"/>
        <v>362.53</v>
      </c>
      <c r="G453" s="2">
        <f t="shared" si="3"/>
        <v>616.301</v>
      </c>
      <c r="H453" s="2">
        <f t="shared" si="4"/>
        <v>25</v>
      </c>
      <c r="I453" s="2">
        <f t="shared" si="5"/>
        <v>870</v>
      </c>
    </row>
    <row r="454" ht="15.75" customHeight="1">
      <c r="A454" s="3">
        <v>44982.0</v>
      </c>
      <c r="B454" s="2" t="s">
        <v>26</v>
      </c>
      <c r="C454" s="2" t="s">
        <v>27</v>
      </c>
      <c r="D454" s="2" t="s">
        <v>16</v>
      </c>
      <c r="E454" s="2">
        <f t="shared" si="1"/>
        <v>10959</v>
      </c>
      <c r="F454" s="2">
        <f t="shared" si="2"/>
        <v>767.13</v>
      </c>
      <c r="G454" s="2">
        <f t="shared" si="3"/>
        <v>1526.5887</v>
      </c>
      <c r="H454" s="2">
        <f t="shared" si="4"/>
        <v>69</v>
      </c>
      <c r="I454" s="2">
        <f t="shared" si="5"/>
        <v>2798</v>
      </c>
    </row>
    <row r="455" ht="15.75" customHeight="1">
      <c r="A455" s="3">
        <v>44982.0</v>
      </c>
      <c r="B455" s="2" t="s">
        <v>26</v>
      </c>
      <c r="C455" s="2" t="s">
        <v>31</v>
      </c>
      <c r="D455" s="2" t="s">
        <v>30</v>
      </c>
      <c r="E455" s="2">
        <f t="shared" si="1"/>
        <v>11033</v>
      </c>
      <c r="F455" s="2">
        <f t="shared" si="2"/>
        <v>220.66</v>
      </c>
      <c r="G455" s="2">
        <f t="shared" si="3"/>
        <v>112.5366</v>
      </c>
      <c r="H455" s="2">
        <f t="shared" si="4"/>
        <v>18</v>
      </c>
      <c r="I455" s="2">
        <f t="shared" si="5"/>
        <v>1600</v>
      </c>
    </row>
    <row r="456" ht="15.75" customHeight="1">
      <c r="A456" s="3">
        <v>44982.0</v>
      </c>
      <c r="B456" s="2" t="s">
        <v>33</v>
      </c>
      <c r="C456" s="2" t="s">
        <v>34</v>
      </c>
      <c r="D456" s="2" t="s">
        <v>22</v>
      </c>
      <c r="E456" s="2">
        <f t="shared" si="1"/>
        <v>3846</v>
      </c>
      <c r="F456" s="2">
        <f t="shared" si="2"/>
        <v>76.92</v>
      </c>
      <c r="G456" s="2">
        <f t="shared" si="3"/>
        <v>0</v>
      </c>
      <c r="H456" s="2">
        <f t="shared" si="4"/>
        <v>9</v>
      </c>
      <c r="I456" s="2">
        <f t="shared" si="5"/>
        <v>2033</v>
      </c>
    </row>
    <row r="457" ht="15.75" customHeight="1">
      <c r="A457" s="3">
        <v>44982.0</v>
      </c>
      <c r="B457" s="2" t="s">
        <v>33</v>
      </c>
      <c r="C457" s="2" t="s">
        <v>35</v>
      </c>
      <c r="D457" s="2" t="s">
        <v>13</v>
      </c>
      <c r="E457" s="2">
        <f t="shared" si="1"/>
        <v>5848</v>
      </c>
      <c r="F457" s="2">
        <f t="shared" si="2"/>
        <v>175.44</v>
      </c>
      <c r="G457" s="2">
        <f t="shared" si="3"/>
        <v>0</v>
      </c>
      <c r="H457" s="2">
        <f t="shared" si="4"/>
        <v>28</v>
      </c>
      <c r="I457" s="2">
        <f t="shared" si="5"/>
        <v>3125</v>
      </c>
    </row>
    <row r="458" ht="15.75" customHeight="1">
      <c r="A458" s="3">
        <v>44983.0</v>
      </c>
      <c r="B458" s="2" t="s">
        <v>14</v>
      </c>
      <c r="C458" s="2" t="s">
        <v>15</v>
      </c>
      <c r="D458" s="2" t="s">
        <v>30</v>
      </c>
      <c r="E458" s="2">
        <f t="shared" si="1"/>
        <v>8175</v>
      </c>
      <c r="F458" s="2">
        <f t="shared" si="2"/>
        <v>490.5</v>
      </c>
      <c r="G458" s="2">
        <f t="shared" si="3"/>
        <v>259.965</v>
      </c>
      <c r="H458" s="2">
        <f t="shared" si="4"/>
        <v>39</v>
      </c>
      <c r="I458" s="2">
        <f t="shared" si="5"/>
        <v>1392</v>
      </c>
    </row>
    <row r="459" ht="15.75" customHeight="1">
      <c r="A459" s="3">
        <v>44983.0</v>
      </c>
      <c r="B459" s="2" t="s">
        <v>14</v>
      </c>
      <c r="C459" s="2" t="s">
        <v>17</v>
      </c>
      <c r="D459" s="2" t="s">
        <v>28</v>
      </c>
      <c r="E459" s="2">
        <f t="shared" si="1"/>
        <v>5437</v>
      </c>
      <c r="F459" s="2">
        <f t="shared" si="2"/>
        <v>108.74</v>
      </c>
      <c r="G459" s="2">
        <f t="shared" si="3"/>
        <v>188.1202</v>
      </c>
      <c r="H459" s="2">
        <f t="shared" si="4"/>
        <v>13</v>
      </c>
      <c r="I459" s="2">
        <f t="shared" si="5"/>
        <v>4413</v>
      </c>
    </row>
    <row r="460" ht="15.75" customHeight="1">
      <c r="A460" s="3">
        <v>44983.0</v>
      </c>
      <c r="B460" s="2" t="s">
        <v>20</v>
      </c>
      <c r="C460" s="2" t="s">
        <v>21</v>
      </c>
      <c r="D460" s="2" t="s">
        <v>16</v>
      </c>
      <c r="E460" s="2">
        <f t="shared" si="1"/>
        <v>5159</v>
      </c>
      <c r="F460" s="2">
        <f t="shared" si="2"/>
        <v>515.9</v>
      </c>
      <c r="G460" s="2">
        <f t="shared" si="3"/>
        <v>552.013</v>
      </c>
      <c r="H460" s="2">
        <f t="shared" si="4"/>
        <v>93</v>
      </c>
      <c r="I460" s="2">
        <f t="shared" si="5"/>
        <v>2879</v>
      </c>
    </row>
    <row r="461" ht="15.75" customHeight="1">
      <c r="A461" s="3">
        <v>44983.0</v>
      </c>
      <c r="B461" s="2" t="s">
        <v>20</v>
      </c>
      <c r="C461" s="2" t="s">
        <v>23</v>
      </c>
      <c r="D461" s="2" t="s">
        <v>22</v>
      </c>
      <c r="E461" s="2">
        <f t="shared" si="1"/>
        <v>4698</v>
      </c>
      <c r="F461" s="2">
        <f t="shared" si="2"/>
        <v>93.96</v>
      </c>
      <c r="G461" s="2">
        <f t="shared" si="3"/>
        <v>63.8928</v>
      </c>
      <c r="H461" s="2">
        <f t="shared" si="4"/>
        <v>8</v>
      </c>
      <c r="I461" s="2">
        <f t="shared" si="5"/>
        <v>2462</v>
      </c>
    </row>
    <row r="462" ht="15.75" customHeight="1">
      <c r="A462" s="3">
        <v>44983.0</v>
      </c>
      <c r="B462" s="2" t="s">
        <v>26</v>
      </c>
      <c r="C462" s="2" t="s">
        <v>27</v>
      </c>
      <c r="D462" s="2" t="s">
        <v>16</v>
      </c>
      <c r="E462" s="2">
        <f t="shared" si="1"/>
        <v>13231</v>
      </c>
      <c r="F462" s="2">
        <f t="shared" si="2"/>
        <v>1058.48</v>
      </c>
      <c r="G462" s="2">
        <f t="shared" si="3"/>
        <v>1767.6616</v>
      </c>
      <c r="H462" s="2">
        <f t="shared" si="4"/>
        <v>95</v>
      </c>
      <c r="I462" s="2">
        <f t="shared" si="5"/>
        <v>3869</v>
      </c>
    </row>
    <row r="463" ht="15.75" customHeight="1">
      <c r="A463" s="3">
        <v>44983.0</v>
      </c>
      <c r="B463" s="2" t="s">
        <v>26</v>
      </c>
      <c r="C463" s="2" t="s">
        <v>31</v>
      </c>
      <c r="D463" s="2" t="s">
        <v>22</v>
      </c>
      <c r="E463" s="2">
        <f t="shared" si="1"/>
        <v>11293</v>
      </c>
      <c r="F463" s="2">
        <f t="shared" si="2"/>
        <v>564.65</v>
      </c>
      <c r="G463" s="2">
        <f t="shared" si="3"/>
        <v>282.325</v>
      </c>
      <c r="H463" s="2">
        <f t="shared" si="4"/>
        <v>45</v>
      </c>
      <c r="I463" s="2">
        <f t="shared" si="5"/>
        <v>1748</v>
      </c>
    </row>
    <row r="464" ht="15.75" customHeight="1">
      <c r="A464" s="3">
        <v>44983.0</v>
      </c>
      <c r="B464" s="2" t="s">
        <v>33</v>
      </c>
      <c r="C464" s="2" t="s">
        <v>34</v>
      </c>
      <c r="D464" s="2" t="s">
        <v>30</v>
      </c>
      <c r="E464" s="2">
        <f t="shared" si="1"/>
        <v>2397</v>
      </c>
      <c r="F464" s="2">
        <f t="shared" si="2"/>
        <v>71.91</v>
      </c>
      <c r="G464" s="2">
        <f t="shared" si="3"/>
        <v>0</v>
      </c>
      <c r="H464" s="2">
        <f t="shared" si="4"/>
        <v>12</v>
      </c>
      <c r="I464" s="2">
        <f t="shared" si="5"/>
        <v>187</v>
      </c>
    </row>
    <row r="465" ht="15.75" customHeight="1">
      <c r="A465" s="3">
        <v>44983.0</v>
      </c>
      <c r="B465" s="2" t="s">
        <v>33</v>
      </c>
      <c r="C465" s="2" t="s">
        <v>35</v>
      </c>
      <c r="D465" s="2" t="s">
        <v>22</v>
      </c>
      <c r="E465" s="2">
        <f t="shared" si="1"/>
        <v>3745</v>
      </c>
      <c r="F465" s="2">
        <f t="shared" si="2"/>
        <v>337.05</v>
      </c>
      <c r="G465" s="2">
        <f t="shared" si="3"/>
        <v>0</v>
      </c>
      <c r="H465" s="2">
        <f t="shared" si="4"/>
        <v>61</v>
      </c>
      <c r="I465" s="2">
        <f t="shared" si="5"/>
        <v>4438</v>
      </c>
    </row>
    <row r="466" ht="15.75" customHeight="1">
      <c r="A466" s="3">
        <v>44984.0</v>
      </c>
      <c r="B466" s="2" t="s">
        <v>14</v>
      </c>
      <c r="C466" s="2" t="s">
        <v>15</v>
      </c>
      <c r="D466" s="2" t="s">
        <v>22</v>
      </c>
      <c r="E466" s="2">
        <f t="shared" si="1"/>
        <v>9943</v>
      </c>
      <c r="F466" s="2">
        <f t="shared" si="2"/>
        <v>894.87</v>
      </c>
      <c r="G466" s="2">
        <f t="shared" si="3"/>
        <v>1333.3563</v>
      </c>
      <c r="H466" s="2">
        <f t="shared" si="4"/>
        <v>161</v>
      </c>
      <c r="I466" s="2">
        <f t="shared" si="5"/>
        <v>509</v>
      </c>
    </row>
    <row r="467" ht="15.75" customHeight="1">
      <c r="A467" s="3">
        <v>44984.0</v>
      </c>
      <c r="B467" s="2" t="s">
        <v>14</v>
      </c>
      <c r="C467" s="2" t="s">
        <v>17</v>
      </c>
      <c r="D467" s="2" t="s">
        <v>13</v>
      </c>
      <c r="E467" s="2">
        <f t="shared" si="1"/>
        <v>5057</v>
      </c>
      <c r="F467" s="2">
        <f t="shared" si="2"/>
        <v>303.42</v>
      </c>
      <c r="G467" s="2">
        <f t="shared" si="3"/>
        <v>267.0096</v>
      </c>
      <c r="H467" s="2">
        <f t="shared" si="4"/>
        <v>42</v>
      </c>
      <c r="I467" s="2">
        <f t="shared" si="5"/>
        <v>4378</v>
      </c>
    </row>
    <row r="468" ht="15.75" customHeight="1">
      <c r="A468" s="3">
        <v>44984.0</v>
      </c>
      <c r="B468" s="2" t="s">
        <v>20</v>
      </c>
      <c r="C468" s="2" t="s">
        <v>21</v>
      </c>
      <c r="D468" s="2" t="s">
        <v>30</v>
      </c>
      <c r="E468" s="2">
        <f t="shared" si="1"/>
        <v>2089</v>
      </c>
      <c r="F468" s="2">
        <f t="shared" si="2"/>
        <v>208.9</v>
      </c>
      <c r="G468" s="2">
        <f t="shared" si="3"/>
        <v>160.853</v>
      </c>
      <c r="H468" s="2">
        <f t="shared" si="4"/>
        <v>15</v>
      </c>
      <c r="I468" s="2">
        <f t="shared" si="5"/>
        <v>1561</v>
      </c>
    </row>
    <row r="469" ht="15.75" customHeight="1">
      <c r="A469" s="3">
        <v>44984.0</v>
      </c>
      <c r="B469" s="2" t="s">
        <v>20</v>
      </c>
      <c r="C469" s="2" t="s">
        <v>23</v>
      </c>
      <c r="D469" s="2" t="s">
        <v>19</v>
      </c>
      <c r="E469" s="2">
        <f t="shared" si="1"/>
        <v>3035</v>
      </c>
      <c r="F469" s="2">
        <f t="shared" si="2"/>
        <v>60.7</v>
      </c>
      <c r="G469" s="2">
        <f t="shared" si="3"/>
        <v>61.307</v>
      </c>
      <c r="H469" s="2">
        <f t="shared" si="4"/>
        <v>11</v>
      </c>
      <c r="I469" s="2">
        <f t="shared" si="5"/>
        <v>3944</v>
      </c>
    </row>
    <row r="470" ht="15.75" customHeight="1">
      <c r="A470" s="3">
        <v>44984.0</v>
      </c>
      <c r="B470" s="2" t="s">
        <v>26</v>
      </c>
      <c r="C470" s="2" t="s">
        <v>27</v>
      </c>
      <c r="D470" s="2" t="s">
        <v>16</v>
      </c>
      <c r="E470" s="2">
        <f t="shared" si="1"/>
        <v>9115</v>
      </c>
      <c r="F470" s="2">
        <f t="shared" si="2"/>
        <v>273.45</v>
      </c>
      <c r="G470" s="2">
        <f t="shared" si="3"/>
        <v>199.6185</v>
      </c>
      <c r="H470" s="2">
        <f t="shared" si="4"/>
        <v>22</v>
      </c>
      <c r="I470" s="2">
        <f t="shared" si="5"/>
        <v>2389</v>
      </c>
    </row>
    <row r="471" ht="15.75" customHeight="1">
      <c r="A471" s="3">
        <v>44984.0</v>
      </c>
      <c r="B471" s="2" t="s">
        <v>26</v>
      </c>
      <c r="C471" s="2" t="s">
        <v>31</v>
      </c>
      <c r="D471" s="2" t="s">
        <v>28</v>
      </c>
      <c r="E471" s="2">
        <f t="shared" si="1"/>
        <v>12618</v>
      </c>
      <c r="F471" s="2">
        <f t="shared" si="2"/>
        <v>630.9</v>
      </c>
      <c r="G471" s="2">
        <f t="shared" si="3"/>
        <v>334.377</v>
      </c>
      <c r="H471" s="2">
        <f t="shared" si="4"/>
        <v>76</v>
      </c>
      <c r="I471" s="2">
        <f t="shared" si="5"/>
        <v>2901</v>
      </c>
    </row>
    <row r="472" ht="15.75" customHeight="1">
      <c r="A472" s="3">
        <v>44984.0</v>
      </c>
      <c r="B472" s="2" t="s">
        <v>33</v>
      </c>
      <c r="C472" s="2" t="s">
        <v>34</v>
      </c>
      <c r="D472" s="2" t="s">
        <v>28</v>
      </c>
      <c r="E472" s="2">
        <f t="shared" si="1"/>
        <v>4863</v>
      </c>
      <c r="F472" s="2">
        <f t="shared" si="2"/>
        <v>389.04</v>
      </c>
      <c r="G472" s="2">
        <f t="shared" si="3"/>
        <v>0</v>
      </c>
      <c r="H472" s="2">
        <f t="shared" si="4"/>
        <v>51</v>
      </c>
      <c r="I472" s="2">
        <f t="shared" si="5"/>
        <v>3210</v>
      </c>
    </row>
    <row r="473" ht="15.75" customHeight="1">
      <c r="A473" s="3">
        <v>44984.0</v>
      </c>
      <c r="B473" s="2" t="s">
        <v>33</v>
      </c>
      <c r="C473" s="2" t="s">
        <v>35</v>
      </c>
      <c r="D473" s="2" t="s">
        <v>24</v>
      </c>
      <c r="E473" s="2">
        <f t="shared" si="1"/>
        <v>3419</v>
      </c>
      <c r="F473" s="2">
        <f t="shared" si="2"/>
        <v>170.95</v>
      </c>
      <c r="G473" s="2">
        <f t="shared" si="3"/>
        <v>0</v>
      </c>
      <c r="H473" s="2">
        <f t="shared" si="4"/>
        <v>31</v>
      </c>
      <c r="I473" s="2">
        <f t="shared" si="5"/>
        <v>833</v>
      </c>
    </row>
    <row r="474" ht="15.75" customHeight="1">
      <c r="A474" s="3">
        <v>44985.0</v>
      </c>
      <c r="B474" s="2" t="s">
        <v>14</v>
      </c>
      <c r="C474" s="2" t="s">
        <v>15</v>
      </c>
      <c r="D474" s="2" t="s">
        <v>19</v>
      </c>
      <c r="E474" s="2">
        <f t="shared" si="1"/>
        <v>9849</v>
      </c>
      <c r="F474" s="2">
        <f t="shared" si="2"/>
        <v>492.45</v>
      </c>
      <c r="G474" s="2">
        <f t="shared" si="3"/>
        <v>714.0525</v>
      </c>
      <c r="H474" s="2">
        <f t="shared" si="4"/>
        <v>89</v>
      </c>
      <c r="I474" s="2">
        <f t="shared" si="5"/>
        <v>2472</v>
      </c>
    </row>
    <row r="475" ht="15.75" customHeight="1">
      <c r="A475" s="3">
        <v>44985.0</v>
      </c>
      <c r="B475" s="2" t="s">
        <v>14</v>
      </c>
      <c r="C475" s="2" t="s">
        <v>17</v>
      </c>
      <c r="D475" s="2" t="s">
        <v>16</v>
      </c>
      <c r="E475" s="2">
        <f t="shared" si="1"/>
        <v>9298</v>
      </c>
      <c r="F475" s="2">
        <f t="shared" si="2"/>
        <v>278.94</v>
      </c>
      <c r="G475" s="2">
        <f t="shared" si="3"/>
        <v>345.8856</v>
      </c>
      <c r="H475" s="2">
        <f t="shared" si="4"/>
        <v>50</v>
      </c>
      <c r="I475" s="2">
        <f t="shared" si="5"/>
        <v>2014</v>
      </c>
    </row>
    <row r="476" ht="15.75" customHeight="1">
      <c r="A476" s="3">
        <v>44985.0</v>
      </c>
      <c r="B476" s="2" t="s">
        <v>20</v>
      </c>
      <c r="C476" s="2" t="s">
        <v>21</v>
      </c>
      <c r="D476" s="2" t="s">
        <v>16</v>
      </c>
      <c r="E476" s="2">
        <f t="shared" si="1"/>
        <v>3388</v>
      </c>
      <c r="F476" s="2">
        <f t="shared" si="2"/>
        <v>101.64</v>
      </c>
      <c r="G476" s="2">
        <f t="shared" si="3"/>
        <v>134.1648</v>
      </c>
      <c r="H476" s="2">
        <f t="shared" si="4"/>
        <v>18</v>
      </c>
      <c r="I476" s="2">
        <f t="shared" si="5"/>
        <v>3811</v>
      </c>
    </row>
    <row r="477" ht="15.75" customHeight="1">
      <c r="A477" s="3">
        <v>44985.0</v>
      </c>
      <c r="B477" s="2" t="s">
        <v>20</v>
      </c>
      <c r="C477" s="2" t="s">
        <v>23</v>
      </c>
      <c r="D477" s="2" t="s">
        <v>25</v>
      </c>
      <c r="E477" s="2">
        <f t="shared" si="1"/>
        <v>4741</v>
      </c>
      <c r="F477" s="2">
        <f t="shared" si="2"/>
        <v>189.64</v>
      </c>
      <c r="G477" s="2">
        <f t="shared" si="3"/>
        <v>144.1264</v>
      </c>
      <c r="H477" s="2">
        <f t="shared" si="4"/>
        <v>27</v>
      </c>
      <c r="I477" s="2">
        <f t="shared" si="5"/>
        <v>797</v>
      </c>
    </row>
    <row r="478" ht="15.75" customHeight="1">
      <c r="A478" s="3">
        <v>44985.0</v>
      </c>
      <c r="B478" s="2" t="s">
        <v>26</v>
      </c>
      <c r="C478" s="2" t="s">
        <v>27</v>
      </c>
      <c r="D478" s="2" t="s">
        <v>16</v>
      </c>
      <c r="E478" s="2">
        <f t="shared" si="1"/>
        <v>14945</v>
      </c>
      <c r="F478" s="2">
        <f t="shared" si="2"/>
        <v>597.8</v>
      </c>
      <c r="G478" s="2">
        <f t="shared" si="3"/>
        <v>1087.996</v>
      </c>
      <c r="H478" s="2">
        <f t="shared" si="4"/>
        <v>114</v>
      </c>
      <c r="I478" s="2">
        <f t="shared" si="5"/>
        <v>2743</v>
      </c>
    </row>
    <row r="479" ht="15.75" customHeight="1">
      <c r="A479" s="3">
        <v>44985.0</v>
      </c>
      <c r="B479" s="2" t="s">
        <v>26</v>
      </c>
      <c r="C479" s="2" t="s">
        <v>31</v>
      </c>
      <c r="D479" s="2" t="s">
        <v>16</v>
      </c>
      <c r="E479" s="2">
        <f t="shared" si="1"/>
        <v>8309</v>
      </c>
      <c r="F479" s="2">
        <f t="shared" si="2"/>
        <v>166.18</v>
      </c>
      <c r="G479" s="2">
        <f t="shared" si="3"/>
        <v>199.416</v>
      </c>
      <c r="H479" s="2">
        <f t="shared" si="4"/>
        <v>18</v>
      </c>
      <c r="I479" s="2">
        <f t="shared" si="5"/>
        <v>2182</v>
      </c>
    </row>
    <row r="480" ht="15.75" customHeight="1">
      <c r="A480" s="3">
        <v>44985.0</v>
      </c>
      <c r="B480" s="2" t="s">
        <v>33</v>
      </c>
      <c r="C480" s="2" t="s">
        <v>34</v>
      </c>
      <c r="D480" s="2" t="s">
        <v>32</v>
      </c>
      <c r="E480" s="2">
        <f t="shared" si="1"/>
        <v>4629</v>
      </c>
      <c r="F480" s="2">
        <f t="shared" si="2"/>
        <v>92.58</v>
      </c>
      <c r="G480" s="2">
        <f t="shared" si="3"/>
        <v>0</v>
      </c>
      <c r="H480" s="2">
        <f t="shared" si="4"/>
        <v>10</v>
      </c>
      <c r="I480" s="2">
        <f t="shared" si="5"/>
        <v>2798</v>
      </c>
    </row>
    <row r="481" ht="15.75" customHeight="1">
      <c r="A481" s="3">
        <v>44985.0</v>
      </c>
      <c r="B481" s="2" t="s">
        <v>33</v>
      </c>
      <c r="C481" s="2" t="s">
        <v>35</v>
      </c>
      <c r="D481" s="2" t="s">
        <v>13</v>
      </c>
      <c r="E481" s="2">
        <f t="shared" si="1"/>
        <v>4216</v>
      </c>
      <c r="F481" s="2">
        <f t="shared" si="2"/>
        <v>295.12</v>
      </c>
      <c r="G481" s="2">
        <f t="shared" si="3"/>
        <v>0</v>
      </c>
      <c r="H481" s="2">
        <f t="shared" si="4"/>
        <v>53</v>
      </c>
      <c r="I481" s="2">
        <f t="shared" si="5"/>
        <v>552</v>
      </c>
    </row>
    <row r="482" ht="15.75" customHeight="1">
      <c r="A482" s="3" t="s">
        <v>36</v>
      </c>
      <c r="B482" s="2" t="s">
        <v>14</v>
      </c>
      <c r="C482" s="2" t="s">
        <v>15</v>
      </c>
      <c r="D482" s="2" t="s">
        <v>18</v>
      </c>
      <c r="E482" s="2">
        <f t="shared" si="1"/>
        <v>5213</v>
      </c>
      <c r="F482" s="2">
        <f t="shared" si="2"/>
        <v>364.91</v>
      </c>
      <c r="G482" s="2">
        <f t="shared" si="3"/>
        <v>412.3483</v>
      </c>
      <c r="H482" s="2">
        <f t="shared" si="4"/>
        <v>58</v>
      </c>
      <c r="I482" s="2">
        <f t="shared" si="5"/>
        <v>3456</v>
      </c>
    </row>
    <row r="483" ht="15.75" customHeight="1">
      <c r="A483" s="3" t="s">
        <v>36</v>
      </c>
      <c r="B483" s="2" t="s">
        <v>14</v>
      </c>
      <c r="C483" s="2" t="s">
        <v>17</v>
      </c>
      <c r="D483" s="2" t="s">
        <v>19</v>
      </c>
      <c r="E483" s="2">
        <f t="shared" si="1"/>
        <v>8611</v>
      </c>
      <c r="F483" s="2">
        <f t="shared" si="2"/>
        <v>861.1</v>
      </c>
      <c r="G483" s="2">
        <f t="shared" si="3"/>
        <v>852.489</v>
      </c>
      <c r="H483" s="2">
        <f t="shared" si="4"/>
        <v>43</v>
      </c>
      <c r="I483" s="2">
        <f t="shared" si="5"/>
        <v>1211</v>
      </c>
    </row>
    <row r="484" ht="15.75" customHeight="1">
      <c r="A484" s="3" t="s">
        <v>36</v>
      </c>
      <c r="B484" s="2" t="s">
        <v>20</v>
      </c>
      <c r="C484" s="2" t="s">
        <v>21</v>
      </c>
      <c r="D484" s="2" t="s">
        <v>25</v>
      </c>
      <c r="E484" s="2">
        <f t="shared" si="1"/>
        <v>4036</v>
      </c>
      <c r="F484" s="2">
        <f t="shared" si="2"/>
        <v>363.24</v>
      </c>
      <c r="G484" s="2">
        <f t="shared" si="3"/>
        <v>650.1996</v>
      </c>
      <c r="H484" s="2">
        <f t="shared" si="4"/>
        <v>22</v>
      </c>
      <c r="I484" s="2">
        <f t="shared" si="5"/>
        <v>838</v>
      </c>
    </row>
    <row r="485" ht="15.75" customHeight="1">
      <c r="A485" s="3" t="s">
        <v>36</v>
      </c>
      <c r="B485" s="2" t="s">
        <v>20</v>
      </c>
      <c r="C485" s="2" t="s">
        <v>23</v>
      </c>
      <c r="D485" s="2" t="s">
        <v>16</v>
      </c>
      <c r="E485" s="2">
        <f t="shared" si="1"/>
        <v>4984</v>
      </c>
      <c r="F485" s="2">
        <f t="shared" si="2"/>
        <v>348.88</v>
      </c>
      <c r="G485" s="2">
        <f t="shared" si="3"/>
        <v>205.8392</v>
      </c>
      <c r="H485" s="2">
        <f t="shared" si="4"/>
        <v>45</v>
      </c>
      <c r="I485" s="2">
        <f t="shared" si="5"/>
        <v>2808</v>
      </c>
    </row>
    <row r="486" ht="15.75" customHeight="1">
      <c r="A486" s="3" t="s">
        <v>36</v>
      </c>
      <c r="B486" s="2" t="s">
        <v>26</v>
      </c>
      <c r="C486" s="2" t="s">
        <v>27</v>
      </c>
      <c r="D486" s="2" t="s">
        <v>18</v>
      </c>
      <c r="E486" s="2">
        <f t="shared" si="1"/>
        <v>12042</v>
      </c>
      <c r="F486" s="2">
        <f t="shared" si="2"/>
        <v>602.1</v>
      </c>
      <c r="G486" s="2">
        <f t="shared" si="3"/>
        <v>1186.137</v>
      </c>
      <c r="H486" s="2">
        <f t="shared" si="4"/>
        <v>90</v>
      </c>
      <c r="I486" s="2">
        <f t="shared" si="5"/>
        <v>2463</v>
      </c>
    </row>
    <row r="487" ht="15.75" customHeight="1">
      <c r="A487" s="3" t="s">
        <v>36</v>
      </c>
      <c r="B487" s="2" t="s">
        <v>26</v>
      </c>
      <c r="C487" s="2" t="s">
        <v>31</v>
      </c>
      <c r="D487" s="2" t="s">
        <v>19</v>
      </c>
      <c r="E487" s="2">
        <f t="shared" si="1"/>
        <v>12940</v>
      </c>
      <c r="F487" s="2">
        <f t="shared" si="2"/>
        <v>388.2</v>
      </c>
      <c r="G487" s="2">
        <f t="shared" si="3"/>
        <v>690.996</v>
      </c>
      <c r="H487" s="2">
        <f t="shared" si="4"/>
        <v>70</v>
      </c>
      <c r="I487" s="2">
        <f t="shared" si="5"/>
        <v>2903</v>
      </c>
    </row>
    <row r="488" ht="15.75" customHeight="1">
      <c r="A488" s="3" t="s">
        <v>36</v>
      </c>
      <c r="B488" s="2" t="s">
        <v>33</v>
      </c>
      <c r="C488" s="2" t="s">
        <v>34</v>
      </c>
      <c r="D488" s="2" t="s">
        <v>25</v>
      </c>
      <c r="E488" s="2">
        <f t="shared" si="1"/>
        <v>3181</v>
      </c>
      <c r="F488" s="2">
        <f t="shared" si="2"/>
        <v>222.67</v>
      </c>
      <c r="G488" s="2">
        <f t="shared" si="3"/>
        <v>0</v>
      </c>
      <c r="H488" s="2">
        <f t="shared" si="4"/>
        <v>13</v>
      </c>
      <c r="I488" s="2">
        <f t="shared" si="5"/>
        <v>4489</v>
      </c>
    </row>
    <row r="489" ht="15.75" customHeight="1">
      <c r="A489" s="3" t="s">
        <v>36</v>
      </c>
      <c r="B489" s="2" t="s">
        <v>33</v>
      </c>
      <c r="C489" s="2" t="s">
        <v>35</v>
      </c>
      <c r="D489" s="2" t="s">
        <v>30</v>
      </c>
      <c r="E489" s="2">
        <f t="shared" si="1"/>
        <v>2062</v>
      </c>
      <c r="F489" s="2">
        <f t="shared" si="2"/>
        <v>206.2</v>
      </c>
      <c r="G489" s="2">
        <f t="shared" si="3"/>
        <v>0</v>
      </c>
      <c r="H489" s="2">
        <f t="shared" si="4"/>
        <v>41</v>
      </c>
      <c r="I489" s="2">
        <f t="shared" si="5"/>
        <v>3496</v>
      </c>
    </row>
    <row r="490" ht="15.75" customHeight="1">
      <c r="A490" s="3">
        <v>44986.0</v>
      </c>
      <c r="B490" s="2" t="s">
        <v>14</v>
      </c>
      <c r="C490" s="2" t="s">
        <v>15</v>
      </c>
      <c r="D490" s="2" t="s">
        <v>13</v>
      </c>
      <c r="E490" s="2">
        <f t="shared" si="1"/>
        <v>5907</v>
      </c>
      <c r="F490" s="2">
        <f t="shared" si="2"/>
        <v>236.28</v>
      </c>
      <c r="G490" s="2">
        <f t="shared" si="3"/>
        <v>408.7644</v>
      </c>
      <c r="H490" s="2">
        <f t="shared" si="4"/>
        <v>43</v>
      </c>
      <c r="I490" s="2">
        <f t="shared" si="5"/>
        <v>2565</v>
      </c>
    </row>
    <row r="491" ht="15.75" customHeight="1">
      <c r="A491" s="3">
        <v>44986.0</v>
      </c>
      <c r="B491" s="2" t="s">
        <v>14</v>
      </c>
      <c r="C491" s="2" t="s">
        <v>17</v>
      </c>
      <c r="D491" s="2" t="s">
        <v>25</v>
      </c>
      <c r="E491" s="2">
        <f t="shared" si="1"/>
        <v>9251</v>
      </c>
      <c r="F491" s="2">
        <f t="shared" si="2"/>
        <v>277.53</v>
      </c>
      <c r="G491" s="2">
        <f t="shared" si="3"/>
        <v>516.2058</v>
      </c>
      <c r="H491" s="2">
        <f t="shared" si="4"/>
        <v>19</v>
      </c>
      <c r="I491" s="2">
        <f t="shared" si="5"/>
        <v>3540</v>
      </c>
    </row>
    <row r="492" ht="15.75" customHeight="1">
      <c r="A492" s="3">
        <v>44986.0</v>
      </c>
      <c r="B492" s="2" t="s">
        <v>20</v>
      </c>
      <c r="C492" s="2" t="s">
        <v>21</v>
      </c>
      <c r="D492" s="2" t="s">
        <v>18</v>
      </c>
      <c r="E492" s="2">
        <f t="shared" si="1"/>
        <v>5360</v>
      </c>
      <c r="F492" s="2">
        <f t="shared" si="2"/>
        <v>482.4</v>
      </c>
      <c r="G492" s="2">
        <f t="shared" si="3"/>
        <v>294.264</v>
      </c>
      <c r="H492" s="2">
        <f t="shared" si="4"/>
        <v>82</v>
      </c>
      <c r="I492" s="2">
        <f t="shared" si="5"/>
        <v>2885</v>
      </c>
    </row>
    <row r="493" ht="15.75" customHeight="1">
      <c r="A493" s="3">
        <v>44986.0</v>
      </c>
      <c r="B493" s="2" t="s">
        <v>20</v>
      </c>
      <c r="C493" s="2" t="s">
        <v>23</v>
      </c>
      <c r="D493" s="2" t="s">
        <v>30</v>
      </c>
      <c r="E493" s="2">
        <f t="shared" si="1"/>
        <v>2387</v>
      </c>
      <c r="F493" s="2">
        <f t="shared" si="2"/>
        <v>47.74</v>
      </c>
      <c r="G493" s="2">
        <f t="shared" si="3"/>
        <v>80.2032</v>
      </c>
      <c r="H493" s="2">
        <f t="shared" si="4"/>
        <v>4</v>
      </c>
      <c r="I493" s="2">
        <f t="shared" si="5"/>
        <v>4147</v>
      </c>
    </row>
    <row r="494" ht="15.75" customHeight="1">
      <c r="A494" s="3">
        <v>44986.0</v>
      </c>
      <c r="B494" s="2" t="s">
        <v>26</v>
      </c>
      <c r="C494" s="2" t="s">
        <v>27</v>
      </c>
      <c r="D494" s="2" t="s">
        <v>30</v>
      </c>
      <c r="E494" s="2">
        <f t="shared" si="1"/>
        <v>13217</v>
      </c>
      <c r="F494" s="2">
        <f t="shared" si="2"/>
        <v>396.51</v>
      </c>
      <c r="G494" s="2">
        <f t="shared" si="3"/>
        <v>547.1838</v>
      </c>
      <c r="H494" s="2">
        <f t="shared" si="4"/>
        <v>67</v>
      </c>
      <c r="I494" s="2">
        <f t="shared" si="5"/>
        <v>3038</v>
      </c>
    </row>
    <row r="495" ht="15.75" customHeight="1">
      <c r="A495" s="3">
        <v>44986.0</v>
      </c>
      <c r="B495" s="2" t="s">
        <v>26</v>
      </c>
      <c r="C495" s="2" t="s">
        <v>31</v>
      </c>
      <c r="D495" s="2" t="s">
        <v>28</v>
      </c>
      <c r="E495" s="2">
        <f t="shared" si="1"/>
        <v>11539</v>
      </c>
      <c r="F495" s="2">
        <f t="shared" si="2"/>
        <v>1038.51</v>
      </c>
      <c r="G495" s="2">
        <f t="shared" si="3"/>
        <v>342.7083</v>
      </c>
      <c r="H495" s="2">
        <f t="shared" si="4"/>
        <v>145</v>
      </c>
      <c r="I495" s="2">
        <f t="shared" si="5"/>
        <v>3668</v>
      </c>
    </row>
    <row r="496" ht="15.75" customHeight="1">
      <c r="A496" s="3">
        <v>44986.0</v>
      </c>
      <c r="B496" s="2" t="s">
        <v>33</v>
      </c>
      <c r="C496" s="2" t="s">
        <v>34</v>
      </c>
      <c r="D496" s="2" t="s">
        <v>25</v>
      </c>
      <c r="E496" s="2">
        <f t="shared" si="1"/>
        <v>5794</v>
      </c>
      <c r="F496" s="2">
        <f t="shared" si="2"/>
        <v>289.7</v>
      </c>
      <c r="G496" s="2">
        <f t="shared" si="3"/>
        <v>0</v>
      </c>
      <c r="H496" s="2">
        <f t="shared" si="4"/>
        <v>14</v>
      </c>
      <c r="I496" s="2">
        <f t="shared" si="5"/>
        <v>3580</v>
      </c>
    </row>
    <row r="497" ht="15.75" customHeight="1">
      <c r="A497" s="3">
        <v>44986.0</v>
      </c>
      <c r="B497" s="2" t="s">
        <v>33</v>
      </c>
      <c r="C497" s="2" t="s">
        <v>35</v>
      </c>
      <c r="D497" s="2" t="s">
        <v>18</v>
      </c>
      <c r="E497" s="2">
        <f t="shared" si="1"/>
        <v>5103</v>
      </c>
      <c r="F497" s="2">
        <f t="shared" si="2"/>
        <v>306.18</v>
      </c>
      <c r="G497" s="2">
        <f t="shared" si="3"/>
        <v>0</v>
      </c>
      <c r="H497" s="2">
        <f t="shared" si="4"/>
        <v>46</v>
      </c>
      <c r="I497" s="2">
        <f t="shared" si="5"/>
        <v>4565</v>
      </c>
    </row>
    <row r="498" ht="15.75" customHeight="1">
      <c r="A498" s="3">
        <v>44987.0</v>
      </c>
      <c r="B498" s="2" t="s">
        <v>14</v>
      </c>
      <c r="C498" s="2" t="s">
        <v>15</v>
      </c>
      <c r="D498" s="2" t="s">
        <v>13</v>
      </c>
      <c r="E498" s="2">
        <f t="shared" si="1"/>
        <v>9480</v>
      </c>
      <c r="F498" s="2">
        <f t="shared" si="2"/>
        <v>853.2</v>
      </c>
      <c r="G498" s="2">
        <f t="shared" si="3"/>
        <v>255.96</v>
      </c>
      <c r="H498" s="2">
        <f t="shared" si="4"/>
        <v>77</v>
      </c>
      <c r="I498" s="2">
        <f t="shared" si="5"/>
        <v>2211</v>
      </c>
    </row>
    <row r="499" ht="15.75" customHeight="1">
      <c r="A499" s="3">
        <v>44987.0</v>
      </c>
      <c r="B499" s="2" t="s">
        <v>14</v>
      </c>
      <c r="C499" s="2" t="s">
        <v>17</v>
      </c>
      <c r="D499" s="2" t="s">
        <v>32</v>
      </c>
      <c r="E499" s="2">
        <f t="shared" si="1"/>
        <v>8345</v>
      </c>
      <c r="F499" s="2">
        <f t="shared" si="2"/>
        <v>250.35</v>
      </c>
      <c r="G499" s="2">
        <f t="shared" si="3"/>
        <v>322.9515</v>
      </c>
      <c r="H499" s="2">
        <f t="shared" si="4"/>
        <v>30</v>
      </c>
      <c r="I499" s="2">
        <f t="shared" si="5"/>
        <v>2976</v>
      </c>
    </row>
    <row r="500" ht="15.75" customHeight="1">
      <c r="A500" s="3">
        <v>44987.0</v>
      </c>
      <c r="B500" s="2" t="s">
        <v>20</v>
      </c>
      <c r="C500" s="2" t="s">
        <v>21</v>
      </c>
      <c r="D500" s="2" t="s">
        <v>25</v>
      </c>
      <c r="E500" s="2">
        <f t="shared" si="1"/>
        <v>2328</v>
      </c>
      <c r="F500" s="2">
        <f t="shared" si="2"/>
        <v>186.24</v>
      </c>
      <c r="G500" s="2">
        <f t="shared" si="3"/>
        <v>178.7904</v>
      </c>
      <c r="H500" s="2">
        <f t="shared" si="4"/>
        <v>35</v>
      </c>
      <c r="I500" s="2">
        <f t="shared" si="5"/>
        <v>2009</v>
      </c>
    </row>
    <row r="501" ht="15.75" customHeight="1">
      <c r="A501" s="3">
        <v>44987.0</v>
      </c>
      <c r="B501" s="2" t="s">
        <v>20</v>
      </c>
      <c r="C501" s="2" t="s">
        <v>23</v>
      </c>
      <c r="D501" s="2" t="s">
        <v>32</v>
      </c>
      <c r="E501" s="2">
        <f t="shared" si="1"/>
        <v>5981</v>
      </c>
      <c r="F501" s="2">
        <f t="shared" si="2"/>
        <v>119.62</v>
      </c>
      <c r="G501" s="2">
        <f t="shared" si="3"/>
        <v>178.2338</v>
      </c>
      <c r="H501" s="2">
        <f t="shared" si="4"/>
        <v>10</v>
      </c>
      <c r="I501" s="2">
        <f t="shared" si="5"/>
        <v>2422</v>
      </c>
    </row>
    <row r="502" ht="15.75" customHeight="1">
      <c r="A502" s="3">
        <v>44987.0</v>
      </c>
      <c r="B502" s="2" t="s">
        <v>26</v>
      </c>
      <c r="C502" s="2" t="s">
        <v>27</v>
      </c>
      <c r="D502" s="2" t="s">
        <v>16</v>
      </c>
      <c r="E502" s="2">
        <f t="shared" si="1"/>
        <v>13314</v>
      </c>
      <c r="F502" s="2">
        <f t="shared" si="2"/>
        <v>399.42</v>
      </c>
      <c r="G502" s="2">
        <f t="shared" si="3"/>
        <v>319.536</v>
      </c>
      <c r="H502" s="2">
        <f t="shared" si="4"/>
        <v>80</v>
      </c>
      <c r="I502" s="2">
        <f t="shared" si="5"/>
        <v>4277</v>
      </c>
    </row>
    <row r="503" ht="15.75" customHeight="1">
      <c r="A503" s="3">
        <v>44987.0</v>
      </c>
      <c r="B503" s="2" t="s">
        <v>26</v>
      </c>
      <c r="C503" s="2" t="s">
        <v>31</v>
      </c>
      <c r="D503" s="2" t="s">
        <v>19</v>
      </c>
      <c r="E503" s="2">
        <f t="shared" si="1"/>
        <v>14489</v>
      </c>
      <c r="F503" s="2">
        <f t="shared" si="2"/>
        <v>1159.12</v>
      </c>
      <c r="G503" s="2">
        <f t="shared" si="3"/>
        <v>846.1576</v>
      </c>
      <c r="H503" s="2">
        <f t="shared" si="4"/>
        <v>209</v>
      </c>
      <c r="I503" s="2">
        <f t="shared" si="5"/>
        <v>3327</v>
      </c>
    </row>
    <row r="504" ht="15.75" customHeight="1">
      <c r="A504" s="3">
        <v>44987.0</v>
      </c>
      <c r="B504" s="2" t="s">
        <v>33</v>
      </c>
      <c r="C504" s="2" t="s">
        <v>34</v>
      </c>
      <c r="D504" s="2" t="s">
        <v>16</v>
      </c>
      <c r="E504" s="2">
        <f t="shared" si="1"/>
        <v>4914</v>
      </c>
      <c r="F504" s="2">
        <f t="shared" si="2"/>
        <v>442.26</v>
      </c>
      <c r="G504" s="2">
        <f t="shared" si="3"/>
        <v>0</v>
      </c>
      <c r="H504" s="2">
        <f t="shared" si="4"/>
        <v>27</v>
      </c>
      <c r="I504" s="2">
        <f t="shared" si="5"/>
        <v>3558</v>
      </c>
    </row>
    <row r="505" ht="15.75" customHeight="1">
      <c r="A505" s="3">
        <v>44987.0</v>
      </c>
      <c r="B505" s="2" t="s">
        <v>33</v>
      </c>
      <c r="C505" s="2" t="s">
        <v>35</v>
      </c>
      <c r="D505" s="2" t="s">
        <v>18</v>
      </c>
      <c r="E505" s="2">
        <f t="shared" si="1"/>
        <v>3589</v>
      </c>
      <c r="F505" s="2">
        <f t="shared" si="2"/>
        <v>215.34</v>
      </c>
      <c r="G505" s="2">
        <f t="shared" si="3"/>
        <v>0</v>
      </c>
      <c r="H505" s="2">
        <f t="shared" si="4"/>
        <v>24</v>
      </c>
      <c r="I505" s="2">
        <f t="shared" si="5"/>
        <v>2476</v>
      </c>
    </row>
    <row r="506" ht="15.75" customHeight="1">
      <c r="A506" s="3">
        <v>44988.0</v>
      </c>
      <c r="B506" s="2" t="s">
        <v>14</v>
      </c>
      <c r="C506" s="2" t="s">
        <v>15</v>
      </c>
      <c r="D506" s="2" t="s">
        <v>28</v>
      </c>
      <c r="E506" s="2">
        <f t="shared" si="1"/>
        <v>5819</v>
      </c>
      <c r="F506" s="2">
        <f t="shared" si="2"/>
        <v>232.76</v>
      </c>
      <c r="G506" s="2">
        <f t="shared" si="3"/>
        <v>337.502</v>
      </c>
      <c r="H506" s="2">
        <f t="shared" si="4"/>
        <v>14</v>
      </c>
      <c r="I506" s="2">
        <f t="shared" si="5"/>
        <v>3462</v>
      </c>
    </row>
    <row r="507" ht="15.75" customHeight="1">
      <c r="A507" s="3">
        <v>44988.0</v>
      </c>
      <c r="B507" s="2" t="s">
        <v>14</v>
      </c>
      <c r="C507" s="2" t="s">
        <v>17</v>
      </c>
      <c r="D507" s="2" t="s">
        <v>18</v>
      </c>
      <c r="E507" s="2">
        <f t="shared" si="1"/>
        <v>5952</v>
      </c>
      <c r="F507" s="2">
        <f t="shared" si="2"/>
        <v>357.12</v>
      </c>
      <c r="G507" s="2">
        <f t="shared" si="3"/>
        <v>278.5536</v>
      </c>
      <c r="H507" s="2">
        <f t="shared" si="4"/>
        <v>25</v>
      </c>
      <c r="I507" s="2">
        <f t="shared" si="5"/>
        <v>4618</v>
      </c>
    </row>
    <row r="508" ht="15.75" customHeight="1">
      <c r="A508" s="3">
        <v>44988.0</v>
      </c>
      <c r="B508" s="2" t="s">
        <v>20</v>
      </c>
      <c r="C508" s="2" t="s">
        <v>21</v>
      </c>
      <c r="D508" s="2" t="s">
        <v>19</v>
      </c>
      <c r="E508" s="2">
        <f t="shared" si="1"/>
        <v>5621</v>
      </c>
      <c r="F508" s="2">
        <f t="shared" si="2"/>
        <v>562.1</v>
      </c>
      <c r="G508" s="2">
        <f t="shared" si="3"/>
        <v>848.771</v>
      </c>
      <c r="H508" s="2">
        <f t="shared" si="4"/>
        <v>101</v>
      </c>
      <c r="I508" s="2">
        <f t="shared" si="5"/>
        <v>2413</v>
      </c>
    </row>
    <row r="509" ht="15.75" customHeight="1">
      <c r="A509" s="3">
        <v>44988.0</v>
      </c>
      <c r="B509" s="2" t="s">
        <v>20</v>
      </c>
      <c r="C509" s="2" t="s">
        <v>23</v>
      </c>
      <c r="D509" s="2" t="s">
        <v>13</v>
      </c>
      <c r="E509" s="2">
        <f t="shared" si="1"/>
        <v>2778</v>
      </c>
      <c r="F509" s="2">
        <f t="shared" si="2"/>
        <v>277.8</v>
      </c>
      <c r="G509" s="2">
        <f t="shared" si="3"/>
        <v>238.908</v>
      </c>
      <c r="H509" s="2">
        <f t="shared" si="4"/>
        <v>14</v>
      </c>
      <c r="I509" s="2">
        <f t="shared" si="5"/>
        <v>2099</v>
      </c>
    </row>
    <row r="510" ht="15.75" customHeight="1">
      <c r="A510" s="3">
        <v>44988.0</v>
      </c>
      <c r="B510" s="2" t="s">
        <v>26</v>
      </c>
      <c r="C510" s="2" t="s">
        <v>27</v>
      </c>
      <c r="D510" s="2" t="s">
        <v>16</v>
      </c>
      <c r="E510" s="2">
        <f t="shared" si="1"/>
        <v>13076</v>
      </c>
      <c r="F510" s="2">
        <f t="shared" si="2"/>
        <v>915.32</v>
      </c>
      <c r="G510" s="2">
        <f t="shared" si="3"/>
        <v>274.596</v>
      </c>
      <c r="H510" s="2">
        <f t="shared" si="4"/>
        <v>174</v>
      </c>
      <c r="I510" s="2">
        <f t="shared" si="5"/>
        <v>458</v>
      </c>
    </row>
    <row r="511" ht="15.75" customHeight="1">
      <c r="A511" s="3">
        <v>44988.0</v>
      </c>
      <c r="B511" s="2" t="s">
        <v>26</v>
      </c>
      <c r="C511" s="2" t="s">
        <v>31</v>
      </c>
      <c r="D511" s="2" t="s">
        <v>19</v>
      </c>
      <c r="E511" s="2">
        <f t="shared" si="1"/>
        <v>12946</v>
      </c>
      <c r="F511" s="2">
        <f t="shared" si="2"/>
        <v>776.76</v>
      </c>
      <c r="G511" s="2">
        <f t="shared" si="3"/>
        <v>318.4716</v>
      </c>
      <c r="H511" s="2">
        <f t="shared" si="4"/>
        <v>85</v>
      </c>
      <c r="I511" s="2">
        <f t="shared" si="5"/>
        <v>1607</v>
      </c>
    </row>
    <row r="512" ht="15.75" customHeight="1">
      <c r="A512" s="3">
        <v>44988.0</v>
      </c>
      <c r="B512" s="2" t="s">
        <v>33</v>
      </c>
      <c r="C512" s="2" t="s">
        <v>34</v>
      </c>
      <c r="D512" s="2" t="s">
        <v>19</v>
      </c>
      <c r="E512" s="2">
        <f t="shared" si="1"/>
        <v>5631</v>
      </c>
      <c r="F512" s="2">
        <f t="shared" si="2"/>
        <v>337.86</v>
      </c>
      <c r="G512" s="2">
        <f t="shared" si="3"/>
        <v>0</v>
      </c>
      <c r="H512" s="2">
        <f t="shared" si="4"/>
        <v>54</v>
      </c>
      <c r="I512" s="2">
        <f t="shared" si="5"/>
        <v>4946</v>
      </c>
    </row>
    <row r="513" ht="15.75" customHeight="1">
      <c r="A513" s="3">
        <v>44988.0</v>
      </c>
      <c r="B513" s="2" t="s">
        <v>33</v>
      </c>
      <c r="C513" s="2" t="s">
        <v>35</v>
      </c>
      <c r="D513" s="2" t="s">
        <v>18</v>
      </c>
      <c r="E513" s="2">
        <f t="shared" si="1"/>
        <v>5039</v>
      </c>
      <c r="F513" s="2">
        <f t="shared" si="2"/>
        <v>503.9</v>
      </c>
      <c r="G513" s="2">
        <f t="shared" si="3"/>
        <v>0</v>
      </c>
      <c r="H513" s="2">
        <f t="shared" si="4"/>
        <v>86</v>
      </c>
      <c r="I513" s="2">
        <f t="shared" si="5"/>
        <v>3987</v>
      </c>
    </row>
    <row r="514" ht="15.75" customHeight="1">
      <c r="A514" s="3">
        <v>44989.0</v>
      </c>
      <c r="B514" s="2" t="s">
        <v>14</v>
      </c>
      <c r="C514" s="2" t="s">
        <v>15</v>
      </c>
      <c r="D514" s="2" t="s">
        <v>16</v>
      </c>
      <c r="E514" s="2">
        <f t="shared" si="1"/>
        <v>6323</v>
      </c>
      <c r="F514" s="2">
        <f t="shared" si="2"/>
        <v>316.15</v>
      </c>
      <c r="G514" s="2">
        <f t="shared" si="3"/>
        <v>252.92</v>
      </c>
      <c r="H514" s="2">
        <f t="shared" si="4"/>
        <v>60</v>
      </c>
      <c r="I514" s="2">
        <f t="shared" si="5"/>
        <v>520</v>
      </c>
    </row>
    <row r="515" ht="15.75" customHeight="1">
      <c r="A515" s="3">
        <v>44989.0</v>
      </c>
      <c r="B515" s="2" t="s">
        <v>14</v>
      </c>
      <c r="C515" s="2" t="s">
        <v>17</v>
      </c>
      <c r="D515" s="2" t="s">
        <v>28</v>
      </c>
      <c r="E515" s="2">
        <f t="shared" si="1"/>
        <v>5011</v>
      </c>
      <c r="F515" s="2">
        <f t="shared" si="2"/>
        <v>450.99</v>
      </c>
      <c r="G515" s="2">
        <f t="shared" si="3"/>
        <v>717.0741</v>
      </c>
      <c r="H515" s="2">
        <f t="shared" si="4"/>
        <v>81</v>
      </c>
      <c r="I515" s="2">
        <f t="shared" si="5"/>
        <v>3699</v>
      </c>
    </row>
    <row r="516" ht="15.75" customHeight="1">
      <c r="A516" s="3">
        <v>44989.0</v>
      </c>
      <c r="B516" s="2" t="s">
        <v>20</v>
      </c>
      <c r="C516" s="2" t="s">
        <v>21</v>
      </c>
      <c r="D516" s="2" t="s">
        <v>24</v>
      </c>
      <c r="E516" s="2">
        <f t="shared" si="1"/>
        <v>5337</v>
      </c>
      <c r="F516" s="2">
        <f t="shared" si="2"/>
        <v>480.33</v>
      </c>
      <c r="G516" s="2">
        <f t="shared" si="3"/>
        <v>720.495</v>
      </c>
      <c r="H516" s="2">
        <f t="shared" si="4"/>
        <v>53</v>
      </c>
      <c r="I516" s="2">
        <f t="shared" si="5"/>
        <v>2751</v>
      </c>
    </row>
    <row r="517" ht="15.75" customHeight="1">
      <c r="A517" s="3">
        <v>44989.0</v>
      </c>
      <c r="B517" s="2" t="s">
        <v>20</v>
      </c>
      <c r="C517" s="2" t="s">
        <v>23</v>
      </c>
      <c r="D517" s="2" t="s">
        <v>22</v>
      </c>
      <c r="E517" s="2">
        <f t="shared" si="1"/>
        <v>5513</v>
      </c>
      <c r="F517" s="2">
        <f t="shared" si="2"/>
        <v>441.04</v>
      </c>
      <c r="G517" s="2">
        <f t="shared" si="3"/>
        <v>727.716</v>
      </c>
      <c r="H517" s="2">
        <f t="shared" si="4"/>
        <v>66</v>
      </c>
      <c r="I517" s="2">
        <f t="shared" si="5"/>
        <v>2606</v>
      </c>
    </row>
    <row r="518" ht="15.75" customHeight="1">
      <c r="A518" s="3">
        <v>44989.0</v>
      </c>
      <c r="B518" s="2" t="s">
        <v>26</v>
      </c>
      <c r="C518" s="2" t="s">
        <v>27</v>
      </c>
      <c r="D518" s="2" t="s">
        <v>18</v>
      </c>
      <c r="E518" s="2">
        <f t="shared" si="1"/>
        <v>13312</v>
      </c>
      <c r="F518" s="2">
        <f t="shared" si="2"/>
        <v>266.24</v>
      </c>
      <c r="G518" s="2">
        <f t="shared" si="3"/>
        <v>133.12</v>
      </c>
      <c r="H518" s="2">
        <f t="shared" si="4"/>
        <v>43</v>
      </c>
      <c r="I518" s="2">
        <f t="shared" si="5"/>
        <v>2654</v>
      </c>
    </row>
    <row r="519" ht="15.75" customHeight="1">
      <c r="A519" s="3">
        <v>44989.0</v>
      </c>
      <c r="B519" s="2" t="s">
        <v>26</v>
      </c>
      <c r="C519" s="2" t="s">
        <v>31</v>
      </c>
      <c r="D519" s="2" t="s">
        <v>13</v>
      </c>
      <c r="E519" s="2">
        <f t="shared" si="1"/>
        <v>9406</v>
      </c>
      <c r="F519" s="2">
        <f t="shared" si="2"/>
        <v>846.54</v>
      </c>
      <c r="G519" s="2">
        <f t="shared" si="3"/>
        <v>1083.5712</v>
      </c>
      <c r="H519" s="2">
        <f t="shared" si="4"/>
        <v>110</v>
      </c>
      <c r="I519" s="2">
        <f t="shared" si="5"/>
        <v>915</v>
      </c>
    </row>
    <row r="520" ht="15.75" customHeight="1">
      <c r="A520" s="3">
        <v>44989.0</v>
      </c>
      <c r="B520" s="2" t="s">
        <v>33</v>
      </c>
      <c r="C520" s="2" t="s">
        <v>34</v>
      </c>
      <c r="D520" s="2" t="s">
        <v>30</v>
      </c>
      <c r="E520" s="2">
        <f t="shared" si="1"/>
        <v>4610</v>
      </c>
      <c r="F520" s="2">
        <f t="shared" si="2"/>
        <v>230.5</v>
      </c>
      <c r="G520" s="2">
        <f t="shared" si="3"/>
        <v>0</v>
      </c>
      <c r="H520" s="2">
        <f t="shared" si="4"/>
        <v>28</v>
      </c>
      <c r="I520" s="2">
        <f t="shared" si="5"/>
        <v>1466</v>
      </c>
    </row>
    <row r="521" ht="15.75" customHeight="1">
      <c r="A521" s="3">
        <v>44989.0</v>
      </c>
      <c r="B521" s="2" t="s">
        <v>33</v>
      </c>
      <c r="C521" s="2" t="s">
        <v>35</v>
      </c>
      <c r="D521" s="2" t="s">
        <v>16</v>
      </c>
      <c r="E521" s="2">
        <f t="shared" si="1"/>
        <v>2659</v>
      </c>
      <c r="F521" s="2">
        <f t="shared" si="2"/>
        <v>159.54</v>
      </c>
      <c r="G521" s="2">
        <f t="shared" si="3"/>
        <v>0</v>
      </c>
      <c r="H521" s="2">
        <f t="shared" si="4"/>
        <v>26</v>
      </c>
      <c r="I521" s="2">
        <f t="shared" si="5"/>
        <v>4844</v>
      </c>
    </row>
    <row r="522" ht="15.75" customHeight="1">
      <c r="A522" s="3">
        <v>44990.0</v>
      </c>
      <c r="B522" s="2" t="s">
        <v>14</v>
      </c>
      <c r="C522" s="2" t="s">
        <v>15</v>
      </c>
      <c r="D522" s="2" t="s">
        <v>13</v>
      </c>
      <c r="E522" s="2">
        <f t="shared" si="1"/>
        <v>10034</v>
      </c>
      <c r="F522" s="2">
        <f t="shared" si="2"/>
        <v>301.02</v>
      </c>
      <c r="G522" s="2">
        <f t="shared" si="3"/>
        <v>547.8564</v>
      </c>
      <c r="H522" s="2">
        <f t="shared" si="4"/>
        <v>54</v>
      </c>
      <c r="I522" s="2">
        <f t="shared" si="5"/>
        <v>4202</v>
      </c>
    </row>
    <row r="523" ht="15.75" customHeight="1">
      <c r="A523" s="3">
        <v>44990.0</v>
      </c>
      <c r="B523" s="2" t="s">
        <v>14</v>
      </c>
      <c r="C523" s="2" t="s">
        <v>17</v>
      </c>
      <c r="D523" s="2" t="s">
        <v>16</v>
      </c>
      <c r="E523" s="2">
        <f t="shared" si="1"/>
        <v>5569</v>
      </c>
      <c r="F523" s="2">
        <f t="shared" si="2"/>
        <v>222.76</v>
      </c>
      <c r="G523" s="2">
        <f t="shared" si="3"/>
        <v>325.2296</v>
      </c>
      <c r="H523" s="2">
        <f t="shared" si="4"/>
        <v>11</v>
      </c>
      <c r="I523" s="2">
        <f t="shared" si="5"/>
        <v>4543</v>
      </c>
    </row>
    <row r="524" ht="15.75" customHeight="1">
      <c r="A524" s="3">
        <v>44990.0</v>
      </c>
      <c r="B524" s="2" t="s">
        <v>20</v>
      </c>
      <c r="C524" s="2" t="s">
        <v>21</v>
      </c>
      <c r="D524" s="2" t="s">
        <v>13</v>
      </c>
      <c r="E524" s="2">
        <f t="shared" si="1"/>
        <v>4263</v>
      </c>
      <c r="F524" s="2">
        <f t="shared" si="2"/>
        <v>213.15</v>
      </c>
      <c r="G524" s="2">
        <f t="shared" si="3"/>
        <v>330.3825</v>
      </c>
      <c r="H524" s="2">
        <f t="shared" si="4"/>
        <v>30</v>
      </c>
      <c r="I524" s="2">
        <f t="shared" si="5"/>
        <v>2230</v>
      </c>
    </row>
    <row r="525" ht="15.75" customHeight="1">
      <c r="A525" s="3">
        <v>44990.0</v>
      </c>
      <c r="B525" s="2" t="s">
        <v>20</v>
      </c>
      <c r="C525" s="2" t="s">
        <v>23</v>
      </c>
      <c r="D525" s="2" t="s">
        <v>18</v>
      </c>
      <c r="E525" s="2">
        <f t="shared" si="1"/>
        <v>5024</v>
      </c>
      <c r="F525" s="2">
        <f t="shared" si="2"/>
        <v>401.92</v>
      </c>
      <c r="G525" s="2">
        <f t="shared" si="3"/>
        <v>715.4176</v>
      </c>
      <c r="H525" s="2">
        <f t="shared" si="4"/>
        <v>60</v>
      </c>
      <c r="I525" s="2">
        <f t="shared" si="5"/>
        <v>2079</v>
      </c>
    </row>
    <row r="526" ht="15.75" customHeight="1">
      <c r="A526" s="3">
        <v>44990.0</v>
      </c>
      <c r="B526" s="2" t="s">
        <v>26</v>
      </c>
      <c r="C526" s="2" t="s">
        <v>27</v>
      </c>
      <c r="D526" s="2" t="s">
        <v>32</v>
      </c>
      <c r="E526" s="2">
        <f t="shared" si="1"/>
        <v>11116</v>
      </c>
      <c r="F526" s="2">
        <f t="shared" si="2"/>
        <v>1111.6</v>
      </c>
      <c r="G526" s="2">
        <f t="shared" si="3"/>
        <v>1722.98</v>
      </c>
      <c r="H526" s="2">
        <f t="shared" si="4"/>
        <v>67</v>
      </c>
      <c r="I526" s="2">
        <f t="shared" si="5"/>
        <v>4990</v>
      </c>
    </row>
    <row r="527" ht="15.75" customHeight="1">
      <c r="A527" s="3">
        <v>44990.0</v>
      </c>
      <c r="B527" s="2" t="s">
        <v>26</v>
      </c>
      <c r="C527" s="2" t="s">
        <v>31</v>
      </c>
      <c r="D527" s="2" t="s">
        <v>24</v>
      </c>
      <c r="E527" s="2">
        <f t="shared" si="1"/>
        <v>12736</v>
      </c>
      <c r="F527" s="2">
        <f t="shared" si="2"/>
        <v>636.8</v>
      </c>
      <c r="G527" s="2">
        <f t="shared" si="3"/>
        <v>305.664</v>
      </c>
      <c r="H527" s="2">
        <f t="shared" si="4"/>
        <v>96</v>
      </c>
      <c r="I527" s="2">
        <f t="shared" si="5"/>
        <v>1414</v>
      </c>
    </row>
    <row r="528" ht="15.75" customHeight="1">
      <c r="A528" s="3">
        <v>44990.0</v>
      </c>
      <c r="B528" s="2" t="s">
        <v>33</v>
      </c>
      <c r="C528" s="2" t="s">
        <v>34</v>
      </c>
      <c r="D528" s="2" t="s">
        <v>16</v>
      </c>
      <c r="E528" s="2">
        <f t="shared" si="1"/>
        <v>2899</v>
      </c>
      <c r="F528" s="2">
        <f t="shared" si="2"/>
        <v>173.94</v>
      </c>
      <c r="G528" s="2">
        <f t="shared" si="3"/>
        <v>0</v>
      </c>
      <c r="H528" s="2">
        <f t="shared" si="4"/>
        <v>23</v>
      </c>
      <c r="I528" s="2">
        <f t="shared" si="5"/>
        <v>2102</v>
      </c>
    </row>
    <row r="529" ht="15.75" customHeight="1">
      <c r="A529" s="3">
        <v>44990.0</v>
      </c>
      <c r="B529" s="2" t="s">
        <v>33</v>
      </c>
      <c r="C529" s="2" t="s">
        <v>35</v>
      </c>
      <c r="D529" s="2" t="s">
        <v>18</v>
      </c>
      <c r="E529" s="2">
        <f t="shared" si="1"/>
        <v>2085</v>
      </c>
      <c r="F529" s="2">
        <f t="shared" si="2"/>
        <v>41.7</v>
      </c>
      <c r="G529" s="2">
        <f t="shared" si="3"/>
        <v>0</v>
      </c>
      <c r="H529" s="2">
        <f t="shared" si="4"/>
        <v>8</v>
      </c>
      <c r="I529" s="2">
        <f t="shared" si="5"/>
        <v>3549</v>
      </c>
    </row>
    <row r="530" ht="15.75" customHeight="1">
      <c r="A530" s="3">
        <v>44991.0</v>
      </c>
      <c r="B530" s="2" t="s">
        <v>14</v>
      </c>
      <c r="C530" s="2" t="s">
        <v>15</v>
      </c>
      <c r="D530" s="2" t="s">
        <v>13</v>
      </c>
      <c r="E530" s="2">
        <f t="shared" si="1"/>
        <v>6699</v>
      </c>
      <c r="F530" s="2">
        <f t="shared" si="2"/>
        <v>267.96</v>
      </c>
      <c r="G530" s="2">
        <f t="shared" si="3"/>
        <v>104.5044</v>
      </c>
      <c r="H530" s="2">
        <f t="shared" si="4"/>
        <v>38</v>
      </c>
      <c r="I530" s="2">
        <f t="shared" si="5"/>
        <v>3024</v>
      </c>
    </row>
    <row r="531" ht="15.75" customHeight="1">
      <c r="A531" s="3">
        <v>44991.0</v>
      </c>
      <c r="B531" s="2" t="s">
        <v>14</v>
      </c>
      <c r="C531" s="2" t="s">
        <v>17</v>
      </c>
      <c r="D531" s="2" t="s">
        <v>16</v>
      </c>
      <c r="E531" s="2">
        <f t="shared" si="1"/>
        <v>7195</v>
      </c>
      <c r="F531" s="2">
        <f t="shared" si="2"/>
        <v>647.55</v>
      </c>
      <c r="G531" s="2">
        <f t="shared" si="3"/>
        <v>893.619</v>
      </c>
      <c r="H531" s="2">
        <f t="shared" si="4"/>
        <v>123</v>
      </c>
      <c r="I531" s="2">
        <f t="shared" si="5"/>
        <v>3534</v>
      </c>
    </row>
    <row r="532" ht="15.75" customHeight="1">
      <c r="A532" s="3">
        <v>44991.0</v>
      </c>
      <c r="B532" s="2" t="s">
        <v>20</v>
      </c>
      <c r="C532" s="2" t="s">
        <v>21</v>
      </c>
      <c r="D532" s="2" t="s">
        <v>18</v>
      </c>
      <c r="E532" s="2">
        <f t="shared" si="1"/>
        <v>5562</v>
      </c>
      <c r="F532" s="2">
        <f t="shared" si="2"/>
        <v>333.72</v>
      </c>
      <c r="G532" s="2">
        <f t="shared" si="3"/>
        <v>323.7084</v>
      </c>
      <c r="H532" s="2">
        <f t="shared" si="4"/>
        <v>23</v>
      </c>
      <c r="I532" s="2">
        <f t="shared" si="5"/>
        <v>675</v>
      </c>
    </row>
    <row r="533" ht="15.75" customHeight="1">
      <c r="A533" s="3">
        <v>44991.0</v>
      </c>
      <c r="B533" s="2" t="s">
        <v>20</v>
      </c>
      <c r="C533" s="2" t="s">
        <v>23</v>
      </c>
      <c r="D533" s="2" t="s">
        <v>13</v>
      </c>
      <c r="E533" s="2">
        <f t="shared" si="1"/>
        <v>4824</v>
      </c>
      <c r="F533" s="2">
        <f t="shared" si="2"/>
        <v>96.48</v>
      </c>
      <c r="G533" s="2">
        <f t="shared" si="3"/>
        <v>29.9088</v>
      </c>
      <c r="H533" s="2">
        <f t="shared" si="4"/>
        <v>14</v>
      </c>
      <c r="I533" s="2">
        <f t="shared" si="5"/>
        <v>4829</v>
      </c>
    </row>
    <row r="534" ht="15.75" customHeight="1">
      <c r="A534" s="3">
        <v>44991.0</v>
      </c>
      <c r="B534" s="2" t="s">
        <v>26</v>
      </c>
      <c r="C534" s="2" t="s">
        <v>27</v>
      </c>
      <c r="D534" s="2" t="s">
        <v>25</v>
      </c>
      <c r="E534" s="2">
        <f t="shared" si="1"/>
        <v>10631</v>
      </c>
      <c r="F534" s="2">
        <f t="shared" si="2"/>
        <v>744.17</v>
      </c>
      <c r="G534" s="2">
        <f t="shared" si="3"/>
        <v>491.1522</v>
      </c>
      <c r="H534" s="2">
        <f t="shared" si="4"/>
        <v>60</v>
      </c>
      <c r="I534" s="2">
        <f t="shared" si="5"/>
        <v>4987</v>
      </c>
    </row>
    <row r="535" ht="15.75" customHeight="1">
      <c r="A535" s="3">
        <v>44991.0</v>
      </c>
      <c r="B535" s="2" t="s">
        <v>26</v>
      </c>
      <c r="C535" s="2" t="s">
        <v>31</v>
      </c>
      <c r="D535" s="2" t="s">
        <v>30</v>
      </c>
      <c r="E535" s="2">
        <f t="shared" si="1"/>
        <v>14759</v>
      </c>
      <c r="F535" s="2">
        <f t="shared" si="2"/>
        <v>1328.31</v>
      </c>
      <c r="G535" s="2">
        <f t="shared" si="3"/>
        <v>2297.9763</v>
      </c>
      <c r="H535" s="2">
        <f t="shared" si="4"/>
        <v>66</v>
      </c>
      <c r="I535" s="2">
        <f t="shared" si="5"/>
        <v>2216</v>
      </c>
    </row>
    <row r="536" ht="15.75" customHeight="1">
      <c r="A536" s="3">
        <v>44991.0</v>
      </c>
      <c r="B536" s="2" t="s">
        <v>33</v>
      </c>
      <c r="C536" s="2" t="s">
        <v>34</v>
      </c>
      <c r="D536" s="2" t="s">
        <v>25</v>
      </c>
      <c r="E536" s="2">
        <f t="shared" si="1"/>
        <v>5987</v>
      </c>
      <c r="F536" s="2">
        <f t="shared" si="2"/>
        <v>119.74</v>
      </c>
      <c r="G536" s="2">
        <f t="shared" si="3"/>
        <v>0</v>
      </c>
      <c r="H536" s="2">
        <f t="shared" si="4"/>
        <v>12</v>
      </c>
      <c r="I536" s="2">
        <f t="shared" si="5"/>
        <v>788</v>
      </c>
    </row>
    <row r="537" ht="15.75" customHeight="1">
      <c r="A537" s="3">
        <v>44991.0</v>
      </c>
      <c r="B537" s="2" t="s">
        <v>33</v>
      </c>
      <c r="C537" s="2" t="s">
        <v>35</v>
      </c>
      <c r="D537" s="2" t="s">
        <v>28</v>
      </c>
      <c r="E537" s="2">
        <f t="shared" si="1"/>
        <v>4410</v>
      </c>
      <c r="F537" s="2">
        <f t="shared" si="2"/>
        <v>264.6</v>
      </c>
      <c r="G537" s="2">
        <f t="shared" si="3"/>
        <v>0</v>
      </c>
      <c r="H537" s="2">
        <f t="shared" si="4"/>
        <v>16</v>
      </c>
      <c r="I537" s="2">
        <f t="shared" si="5"/>
        <v>2297</v>
      </c>
    </row>
    <row r="538" ht="15.75" customHeight="1">
      <c r="A538" s="3">
        <v>44992.0</v>
      </c>
      <c r="B538" s="2" t="s">
        <v>14</v>
      </c>
      <c r="C538" s="2" t="s">
        <v>15</v>
      </c>
      <c r="D538" s="2" t="s">
        <v>28</v>
      </c>
      <c r="E538" s="2">
        <f t="shared" si="1"/>
        <v>10218</v>
      </c>
      <c r="F538" s="2">
        <f t="shared" si="2"/>
        <v>817.44</v>
      </c>
      <c r="G538" s="2">
        <f t="shared" si="3"/>
        <v>784.7424</v>
      </c>
      <c r="H538" s="2">
        <f t="shared" si="4"/>
        <v>74</v>
      </c>
      <c r="I538" s="2">
        <f t="shared" si="5"/>
        <v>2021</v>
      </c>
    </row>
    <row r="539" ht="15.75" customHeight="1">
      <c r="A539" s="3">
        <v>44992.0</v>
      </c>
      <c r="B539" s="2" t="s">
        <v>14</v>
      </c>
      <c r="C539" s="2" t="s">
        <v>17</v>
      </c>
      <c r="D539" s="2" t="s">
        <v>28</v>
      </c>
      <c r="E539" s="2">
        <f t="shared" si="1"/>
        <v>10974</v>
      </c>
      <c r="F539" s="2">
        <f t="shared" si="2"/>
        <v>1097.4</v>
      </c>
      <c r="G539" s="2">
        <f t="shared" si="3"/>
        <v>1283.958</v>
      </c>
      <c r="H539" s="2">
        <f t="shared" si="4"/>
        <v>110</v>
      </c>
      <c r="I539" s="2">
        <f t="shared" si="5"/>
        <v>3496</v>
      </c>
    </row>
    <row r="540" ht="15.75" customHeight="1">
      <c r="A540" s="3">
        <v>44992.0</v>
      </c>
      <c r="B540" s="2" t="s">
        <v>20</v>
      </c>
      <c r="C540" s="2" t="s">
        <v>21</v>
      </c>
      <c r="D540" s="2" t="s">
        <v>30</v>
      </c>
      <c r="E540" s="2">
        <f t="shared" si="1"/>
        <v>4789</v>
      </c>
      <c r="F540" s="2">
        <f t="shared" si="2"/>
        <v>335.23</v>
      </c>
      <c r="G540" s="2">
        <f t="shared" si="3"/>
        <v>305.0593</v>
      </c>
      <c r="H540" s="2">
        <f t="shared" si="4"/>
        <v>30</v>
      </c>
      <c r="I540" s="2">
        <f t="shared" si="5"/>
        <v>3145</v>
      </c>
    </row>
    <row r="541" ht="15.75" customHeight="1">
      <c r="A541" s="3">
        <v>44992.0</v>
      </c>
      <c r="B541" s="2" t="s">
        <v>20</v>
      </c>
      <c r="C541" s="2" t="s">
        <v>23</v>
      </c>
      <c r="D541" s="2" t="s">
        <v>32</v>
      </c>
      <c r="E541" s="2">
        <f t="shared" si="1"/>
        <v>4367</v>
      </c>
      <c r="F541" s="2">
        <f t="shared" si="2"/>
        <v>174.68</v>
      </c>
      <c r="G541" s="2">
        <f t="shared" si="3"/>
        <v>298.7028</v>
      </c>
      <c r="H541" s="2">
        <f t="shared" si="4"/>
        <v>35</v>
      </c>
      <c r="I541" s="2">
        <f t="shared" si="5"/>
        <v>2217</v>
      </c>
    </row>
    <row r="542" ht="15.75" customHeight="1">
      <c r="A542" s="3">
        <v>44992.0</v>
      </c>
      <c r="B542" s="2" t="s">
        <v>26</v>
      </c>
      <c r="C542" s="2" t="s">
        <v>27</v>
      </c>
      <c r="D542" s="2" t="s">
        <v>32</v>
      </c>
      <c r="E542" s="2">
        <f t="shared" si="1"/>
        <v>13609</v>
      </c>
      <c r="F542" s="2">
        <f t="shared" si="2"/>
        <v>680.45</v>
      </c>
      <c r="G542" s="2">
        <f t="shared" si="3"/>
        <v>802.931</v>
      </c>
      <c r="H542" s="2">
        <f t="shared" si="4"/>
        <v>102</v>
      </c>
      <c r="I542" s="2">
        <f t="shared" si="5"/>
        <v>3106</v>
      </c>
    </row>
    <row r="543" ht="15.75" customHeight="1">
      <c r="A543" s="3">
        <v>44992.0</v>
      </c>
      <c r="B543" s="2" t="s">
        <v>26</v>
      </c>
      <c r="C543" s="2" t="s">
        <v>31</v>
      </c>
      <c r="D543" s="2" t="s">
        <v>19</v>
      </c>
      <c r="E543" s="2">
        <f t="shared" si="1"/>
        <v>9253</v>
      </c>
      <c r="F543" s="2">
        <f t="shared" si="2"/>
        <v>555.18</v>
      </c>
      <c r="G543" s="2">
        <f t="shared" si="3"/>
        <v>283.1418</v>
      </c>
      <c r="H543" s="2">
        <f t="shared" si="4"/>
        <v>50</v>
      </c>
      <c r="I543" s="2">
        <f t="shared" si="5"/>
        <v>3218</v>
      </c>
    </row>
    <row r="544" ht="15.75" customHeight="1">
      <c r="A544" s="3">
        <v>44992.0</v>
      </c>
      <c r="B544" s="2" t="s">
        <v>33</v>
      </c>
      <c r="C544" s="2" t="s">
        <v>34</v>
      </c>
      <c r="D544" s="2" t="s">
        <v>13</v>
      </c>
      <c r="E544" s="2">
        <f t="shared" si="1"/>
        <v>5495</v>
      </c>
      <c r="F544" s="2">
        <f t="shared" si="2"/>
        <v>274.75</v>
      </c>
      <c r="G544" s="2">
        <f t="shared" si="3"/>
        <v>0</v>
      </c>
      <c r="H544" s="2">
        <f t="shared" si="4"/>
        <v>33</v>
      </c>
      <c r="I544" s="2">
        <f t="shared" si="5"/>
        <v>2970</v>
      </c>
    </row>
    <row r="545" ht="15.75" customHeight="1">
      <c r="A545" s="3">
        <v>44992.0</v>
      </c>
      <c r="B545" s="2" t="s">
        <v>33</v>
      </c>
      <c r="C545" s="2" t="s">
        <v>35</v>
      </c>
      <c r="D545" s="2" t="s">
        <v>19</v>
      </c>
      <c r="E545" s="2">
        <f t="shared" si="1"/>
        <v>4554</v>
      </c>
      <c r="F545" s="2">
        <f t="shared" si="2"/>
        <v>227.7</v>
      </c>
      <c r="G545" s="2">
        <f t="shared" si="3"/>
        <v>0</v>
      </c>
      <c r="H545" s="2">
        <f t="shared" si="4"/>
        <v>46</v>
      </c>
      <c r="I545" s="2">
        <f t="shared" si="5"/>
        <v>4626</v>
      </c>
    </row>
    <row r="546" ht="15.75" customHeight="1">
      <c r="A546" s="3">
        <v>44993.0</v>
      </c>
      <c r="B546" s="2" t="s">
        <v>14</v>
      </c>
      <c r="C546" s="2" t="s">
        <v>15</v>
      </c>
      <c r="D546" s="2" t="s">
        <v>32</v>
      </c>
      <c r="E546" s="2">
        <f t="shared" si="1"/>
        <v>9438</v>
      </c>
      <c r="F546" s="2">
        <f t="shared" si="2"/>
        <v>283.14</v>
      </c>
      <c r="G546" s="2">
        <f t="shared" si="3"/>
        <v>520.9776</v>
      </c>
      <c r="H546" s="2">
        <f t="shared" si="4"/>
        <v>23</v>
      </c>
      <c r="I546" s="2">
        <f t="shared" si="5"/>
        <v>1362</v>
      </c>
    </row>
    <row r="547" ht="15.75" customHeight="1">
      <c r="A547" s="3">
        <v>44993.0</v>
      </c>
      <c r="B547" s="2" t="s">
        <v>14</v>
      </c>
      <c r="C547" s="2" t="s">
        <v>17</v>
      </c>
      <c r="D547" s="2" t="s">
        <v>25</v>
      </c>
      <c r="E547" s="2">
        <f t="shared" si="1"/>
        <v>7984</v>
      </c>
      <c r="F547" s="2">
        <f t="shared" si="2"/>
        <v>718.56</v>
      </c>
      <c r="G547" s="2">
        <f t="shared" si="3"/>
        <v>287.424</v>
      </c>
      <c r="H547" s="2">
        <f t="shared" si="4"/>
        <v>86</v>
      </c>
      <c r="I547" s="2">
        <f t="shared" si="5"/>
        <v>696</v>
      </c>
    </row>
    <row r="548" ht="15.75" customHeight="1">
      <c r="A548" s="3">
        <v>44993.0</v>
      </c>
      <c r="B548" s="2" t="s">
        <v>20</v>
      </c>
      <c r="C548" s="2" t="s">
        <v>21</v>
      </c>
      <c r="D548" s="2" t="s">
        <v>24</v>
      </c>
      <c r="E548" s="2">
        <f t="shared" si="1"/>
        <v>5130</v>
      </c>
      <c r="F548" s="2">
        <f t="shared" si="2"/>
        <v>513</v>
      </c>
      <c r="G548" s="2">
        <f t="shared" si="3"/>
        <v>692.55</v>
      </c>
      <c r="H548" s="2">
        <f t="shared" si="4"/>
        <v>92</v>
      </c>
      <c r="I548" s="2">
        <f t="shared" si="5"/>
        <v>1692</v>
      </c>
    </row>
    <row r="549" ht="15.75" customHeight="1">
      <c r="A549" s="3">
        <v>44993.0</v>
      </c>
      <c r="B549" s="2" t="s">
        <v>20</v>
      </c>
      <c r="C549" s="2" t="s">
        <v>23</v>
      </c>
      <c r="D549" s="2" t="s">
        <v>13</v>
      </c>
      <c r="E549" s="2">
        <f t="shared" si="1"/>
        <v>2513</v>
      </c>
      <c r="F549" s="2">
        <f t="shared" si="2"/>
        <v>125.65</v>
      </c>
      <c r="G549" s="2">
        <f t="shared" si="3"/>
        <v>153.293</v>
      </c>
      <c r="H549" s="2">
        <f t="shared" si="4"/>
        <v>16</v>
      </c>
      <c r="I549" s="2">
        <f t="shared" si="5"/>
        <v>781</v>
      </c>
    </row>
    <row r="550" ht="15.75" customHeight="1">
      <c r="A550" s="3">
        <v>44993.0</v>
      </c>
      <c r="B550" s="2" t="s">
        <v>26</v>
      </c>
      <c r="C550" s="2" t="s">
        <v>27</v>
      </c>
      <c r="D550" s="2" t="s">
        <v>32</v>
      </c>
      <c r="E550" s="2">
        <f t="shared" si="1"/>
        <v>12758</v>
      </c>
      <c r="F550" s="2">
        <f t="shared" si="2"/>
        <v>765.48</v>
      </c>
      <c r="G550" s="2">
        <f t="shared" si="3"/>
        <v>1094.6364</v>
      </c>
      <c r="H550" s="2">
        <f t="shared" si="4"/>
        <v>145</v>
      </c>
      <c r="I550" s="2">
        <f t="shared" si="5"/>
        <v>963</v>
      </c>
    </row>
    <row r="551" ht="15.75" customHeight="1">
      <c r="A551" s="3">
        <v>44993.0</v>
      </c>
      <c r="B551" s="2" t="s">
        <v>26</v>
      </c>
      <c r="C551" s="2" t="s">
        <v>31</v>
      </c>
      <c r="D551" s="2" t="s">
        <v>22</v>
      </c>
      <c r="E551" s="2">
        <f t="shared" si="1"/>
        <v>10929</v>
      </c>
      <c r="F551" s="2">
        <f t="shared" si="2"/>
        <v>546.45</v>
      </c>
      <c r="G551" s="2">
        <f t="shared" si="3"/>
        <v>1071.042</v>
      </c>
      <c r="H551" s="2">
        <f t="shared" si="4"/>
        <v>93</v>
      </c>
      <c r="I551" s="2">
        <f t="shared" si="5"/>
        <v>3317</v>
      </c>
    </row>
    <row r="552" ht="15.75" customHeight="1">
      <c r="A552" s="3">
        <v>44993.0</v>
      </c>
      <c r="B552" s="2" t="s">
        <v>33</v>
      </c>
      <c r="C552" s="2" t="s">
        <v>34</v>
      </c>
      <c r="D552" s="2" t="s">
        <v>32</v>
      </c>
      <c r="E552" s="2">
        <f t="shared" si="1"/>
        <v>5927</v>
      </c>
      <c r="F552" s="2">
        <f t="shared" si="2"/>
        <v>118.54</v>
      </c>
      <c r="G552" s="2">
        <f t="shared" si="3"/>
        <v>0</v>
      </c>
      <c r="H552" s="2">
        <f t="shared" si="4"/>
        <v>19</v>
      </c>
      <c r="I552" s="2">
        <f t="shared" si="5"/>
        <v>3813</v>
      </c>
    </row>
    <row r="553" ht="15.75" customHeight="1">
      <c r="A553" s="3">
        <v>44993.0</v>
      </c>
      <c r="B553" s="2" t="s">
        <v>33</v>
      </c>
      <c r="C553" s="2" t="s">
        <v>35</v>
      </c>
      <c r="D553" s="2" t="s">
        <v>30</v>
      </c>
      <c r="E553" s="2">
        <f t="shared" si="1"/>
        <v>4972</v>
      </c>
      <c r="F553" s="2">
        <f t="shared" si="2"/>
        <v>99.44</v>
      </c>
      <c r="G553" s="2">
        <f t="shared" si="3"/>
        <v>0</v>
      </c>
      <c r="H553" s="2">
        <f t="shared" si="4"/>
        <v>5</v>
      </c>
      <c r="I553" s="2">
        <f t="shared" si="5"/>
        <v>897</v>
      </c>
    </row>
    <row r="554" ht="15.75" customHeight="1">
      <c r="A554" s="3">
        <v>44994.0</v>
      </c>
      <c r="B554" s="2" t="s">
        <v>14</v>
      </c>
      <c r="C554" s="2" t="s">
        <v>15</v>
      </c>
      <c r="D554" s="2" t="s">
        <v>28</v>
      </c>
      <c r="E554" s="2">
        <f t="shared" si="1"/>
        <v>6758</v>
      </c>
      <c r="F554" s="2">
        <f t="shared" si="2"/>
        <v>473.06</v>
      </c>
      <c r="G554" s="2">
        <f t="shared" si="3"/>
        <v>392.6398</v>
      </c>
      <c r="H554" s="2">
        <f t="shared" si="4"/>
        <v>47</v>
      </c>
      <c r="I554" s="2">
        <f t="shared" si="5"/>
        <v>3421</v>
      </c>
    </row>
    <row r="555" ht="15.75" customHeight="1">
      <c r="A555" s="3">
        <v>44994.0</v>
      </c>
      <c r="B555" s="2" t="s">
        <v>14</v>
      </c>
      <c r="C555" s="2" t="s">
        <v>17</v>
      </c>
      <c r="D555" s="2" t="s">
        <v>25</v>
      </c>
      <c r="E555" s="2">
        <f t="shared" si="1"/>
        <v>8647</v>
      </c>
      <c r="F555" s="2">
        <f t="shared" si="2"/>
        <v>345.88</v>
      </c>
      <c r="G555" s="2">
        <f t="shared" si="3"/>
        <v>529.1964</v>
      </c>
      <c r="H555" s="2">
        <f t="shared" si="4"/>
        <v>31</v>
      </c>
      <c r="I555" s="2">
        <f t="shared" si="5"/>
        <v>4526</v>
      </c>
    </row>
    <row r="556" ht="15.75" customHeight="1">
      <c r="A556" s="3">
        <v>44994.0</v>
      </c>
      <c r="B556" s="2" t="s">
        <v>20</v>
      </c>
      <c r="C556" s="2" t="s">
        <v>21</v>
      </c>
      <c r="D556" s="2" t="s">
        <v>16</v>
      </c>
      <c r="E556" s="2">
        <f t="shared" si="1"/>
        <v>3733</v>
      </c>
      <c r="F556" s="2">
        <f t="shared" si="2"/>
        <v>298.64</v>
      </c>
      <c r="G556" s="2">
        <f t="shared" si="3"/>
        <v>379.2728</v>
      </c>
      <c r="H556" s="2">
        <f t="shared" si="4"/>
        <v>24</v>
      </c>
      <c r="I556" s="2">
        <f t="shared" si="5"/>
        <v>1229</v>
      </c>
    </row>
    <row r="557" ht="15.75" customHeight="1">
      <c r="A557" s="3">
        <v>44994.0</v>
      </c>
      <c r="B557" s="2" t="s">
        <v>20</v>
      </c>
      <c r="C557" s="2" t="s">
        <v>23</v>
      </c>
      <c r="D557" s="2" t="s">
        <v>28</v>
      </c>
      <c r="E557" s="2">
        <f t="shared" si="1"/>
        <v>5735</v>
      </c>
      <c r="F557" s="2">
        <f t="shared" si="2"/>
        <v>516.15</v>
      </c>
      <c r="G557" s="2">
        <f t="shared" si="3"/>
        <v>758.7405</v>
      </c>
      <c r="H557" s="2">
        <f t="shared" si="4"/>
        <v>88</v>
      </c>
      <c r="I557" s="2">
        <f t="shared" si="5"/>
        <v>1145</v>
      </c>
    </row>
    <row r="558" ht="15.75" customHeight="1">
      <c r="A558" s="3">
        <v>44994.0</v>
      </c>
      <c r="B558" s="2" t="s">
        <v>26</v>
      </c>
      <c r="C558" s="2" t="s">
        <v>27</v>
      </c>
      <c r="D558" s="2" t="s">
        <v>22</v>
      </c>
      <c r="E558" s="2">
        <f t="shared" si="1"/>
        <v>12631</v>
      </c>
      <c r="F558" s="2">
        <f t="shared" si="2"/>
        <v>757.86</v>
      </c>
      <c r="G558" s="2">
        <f t="shared" si="3"/>
        <v>1061.004</v>
      </c>
      <c r="H558" s="2">
        <f t="shared" si="4"/>
        <v>129</v>
      </c>
      <c r="I558" s="2">
        <f t="shared" si="5"/>
        <v>4220</v>
      </c>
    </row>
    <row r="559" ht="15.75" customHeight="1">
      <c r="A559" s="3">
        <v>44994.0</v>
      </c>
      <c r="B559" s="2" t="s">
        <v>26</v>
      </c>
      <c r="C559" s="2" t="s">
        <v>31</v>
      </c>
      <c r="D559" s="2" t="s">
        <v>22</v>
      </c>
      <c r="E559" s="2">
        <f t="shared" si="1"/>
        <v>12746</v>
      </c>
      <c r="F559" s="2">
        <f t="shared" si="2"/>
        <v>254.92</v>
      </c>
      <c r="G559" s="2">
        <f t="shared" si="3"/>
        <v>499.6432</v>
      </c>
      <c r="H559" s="2">
        <f t="shared" si="4"/>
        <v>23</v>
      </c>
      <c r="I559" s="2">
        <f t="shared" si="5"/>
        <v>1741</v>
      </c>
    </row>
    <row r="560" ht="15.75" customHeight="1">
      <c r="A560" s="3">
        <v>44994.0</v>
      </c>
      <c r="B560" s="2" t="s">
        <v>33</v>
      </c>
      <c r="C560" s="2" t="s">
        <v>34</v>
      </c>
      <c r="D560" s="2" t="s">
        <v>30</v>
      </c>
      <c r="E560" s="2">
        <f t="shared" si="1"/>
        <v>4821</v>
      </c>
      <c r="F560" s="2">
        <f t="shared" si="2"/>
        <v>96.42</v>
      </c>
      <c r="G560" s="2">
        <f t="shared" si="3"/>
        <v>0</v>
      </c>
      <c r="H560" s="2">
        <f t="shared" si="4"/>
        <v>12</v>
      </c>
      <c r="I560" s="2">
        <f t="shared" si="5"/>
        <v>346</v>
      </c>
    </row>
    <row r="561" ht="15.75" customHeight="1">
      <c r="A561" s="3">
        <v>44994.0</v>
      </c>
      <c r="B561" s="2" t="s">
        <v>33</v>
      </c>
      <c r="C561" s="2" t="s">
        <v>35</v>
      </c>
      <c r="D561" s="2" t="s">
        <v>19</v>
      </c>
      <c r="E561" s="2">
        <f t="shared" si="1"/>
        <v>5718</v>
      </c>
      <c r="F561" s="2">
        <f t="shared" si="2"/>
        <v>400.26</v>
      </c>
      <c r="G561" s="2">
        <f t="shared" si="3"/>
        <v>0</v>
      </c>
      <c r="H561" s="2">
        <f t="shared" si="4"/>
        <v>72</v>
      </c>
      <c r="I561" s="2">
        <f t="shared" si="5"/>
        <v>2590</v>
      </c>
    </row>
    <row r="562" ht="15.75" customHeight="1">
      <c r="A562" s="3">
        <v>44995.0</v>
      </c>
      <c r="B562" s="2" t="s">
        <v>14</v>
      </c>
      <c r="C562" s="2" t="s">
        <v>15</v>
      </c>
      <c r="D562" s="2" t="s">
        <v>16</v>
      </c>
      <c r="E562" s="2">
        <f t="shared" si="1"/>
        <v>10507</v>
      </c>
      <c r="F562" s="2">
        <f t="shared" si="2"/>
        <v>210.14</v>
      </c>
      <c r="G562" s="2">
        <f t="shared" si="3"/>
        <v>371.9478</v>
      </c>
      <c r="H562" s="2">
        <f t="shared" si="4"/>
        <v>40</v>
      </c>
      <c r="I562" s="2">
        <f t="shared" si="5"/>
        <v>1026</v>
      </c>
    </row>
    <row r="563" ht="15.75" customHeight="1">
      <c r="A563" s="3">
        <v>44995.0</v>
      </c>
      <c r="B563" s="2" t="s">
        <v>14</v>
      </c>
      <c r="C563" s="2" t="s">
        <v>17</v>
      </c>
      <c r="D563" s="2" t="s">
        <v>13</v>
      </c>
      <c r="E563" s="2">
        <f t="shared" si="1"/>
        <v>6858</v>
      </c>
      <c r="F563" s="2">
        <f t="shared" si="2"/>
        <v>480.06</v>
      </c>
      <c r="G563" s="2">
        <f t="shared" si="3"/>
        <v>408.051</v>
      </c>
      <c r="H563" s="2">
        <f t="shared" si="4"/>
        <v>43</v>
      </c>
      <c r="I563" s="2">
        <f t="shared" si="5"/>
        <v>4108</v>
      </c>
    </row>
    <row r="564" ht="15.75" customHeight="1">
      <c r="A564" s="3">
        <v>44995.0</v>
      </c>
      <c r="B564" s="2" t="s">
        <v>20</v>
      </c>
      <c r="C564" s="2" t="s">
        <v>21</v>
      </c>
      <c r="D564" s="2" t="s">
        <v>16</v>
      </c>
      <c r="E564" s="2">
        <f t="shared" si="1"/>
        <v>2051</v>
      </c>
      <c r="F564" s="2">
        <f t="shared" si="2"/>
        <v>143.57</v>
      </c>
      <c r="G564" s="2">
        <f t="shared" si="3"/>
        <v>255.5546</v>
      </c>
      <c r="H564" s="2">
        <f t="shared" si="4"/>
        <v>27</v>
      </c>
      <c r="I564" s="2">
        <f t="shared" si="5"/>
        <v>830</v>
      </c>
    </row>
    <row r="565" ht="15.75" customHeight="1">
      <c r="A565" s="3">
        <v>44995.0</v>
      </c>
      <c r="B565" s="2" t="s">
        <v>20</v>
      </c>
      <c r="C565" s="2" t="s">
        <v>23</v>
      </c>
      <c r="D565" s="2" t="s">
        <v>13</v>
      </c>
      <c r="E565" s="2">
        <f t="shared" si="1"/>
        <v>2541</v>
      </c>
      <c r="F565" s="2">
        <f t="shared" si="2"/>
        <v>228.69</v>
      </c>
      <c r="G565" s="2">
        <f t="shared" si="3"/>
        <v>187.5258</v>
      </c>
      <c r="H565" s="2">
        <f t="shared" si="4"/>
        <v>39</v>
      </c>
      <c r="I565" s="2">
        <f t="shared" si="5"/>
        <v>4004</v>
      </c>
    </row>
    <row r="566" ht="15.75" customHeight="1">
      <c r="A566" s="3">
        <v>44995.0</v>
      </c>
      <c r="B566" s="2" t="s">
        <v>26</v>
      </c>
      <c r="C566" s="2" t="s">
        <v>27</v>
      </c>
      <c r="D566" s="2" t="s">
        <v>22</v>
      </c>
      <c r="E566" s="2">
        <f t="shared" si="1"/>
        <v>13537</v>
      </c>
      <c r="F566" s="2">
        <f t="shared" si="2"/>
        <v>406.11</v>
      </c>
      <c r="G566" s="2">
        <f t="shared" si="3"/>
        <v>605.1039</v>
      </c>
      <c r="H566" s="2">
        <f t="shared" si="4"/>
        <v>57</v>
      </c>
      <c r="I566" s="2">
        <f t="shared" si="5"/>
        <v>3045</v>
      </c>
    </row>
    <row r="567" ht="15.75" customHeight="1">
      <c r="A567" s="3">
        <v>44995.0</v>
      </c>
      <c r="B567" s="2" t="s">
        <v>26</v>
      </c>
      <c r="C567" s="2" t="s">
        <v>31</v>
      </c>
      <c r="D567" s="2" t="s">
        <v>32</v>
      </c>
      <c r="E567" s="2">
        <f t="shared" si="1"/>
        <v>10636</v>
      </c>
      <c r="F567" s="2">
        <f t="shared" si="2"/>
        <v>1063.6</v>
      </c>
      <c r="G567" s="2">
        <f t="shared" si="3"/>
        <v>999.784</v>
      </c>
      <c r="H567" s="2">
        <f t="shared" si="4"/>
        <v>117</v>
      </c>
      <c r="I567" s="2">
        <f t="shared" si="5"/>
        <v>694</v>
      </c>
    </row>
    <row r="568" ht="15.75" customHeight="1">
      <c r="A568" s="3">
        <v>44995.0</v>
      </c>
      <c r="B568" s="2" t="s">
        <v>33</v>
      </c>
      <c r="C568" s="2" t="s">
        <v>34</v>
      </c>
      <c r="D568" s="2" t="s">
        <v>13</v>
      </c>
      <c r="E568" s="2">
        <f t="shared" si="1"/>
        <v>3739</v>
      </c>
      <c r="F568" s="2">
        <f t="shared" si="2"/>
        <v>74.78</v>
      </c>
      <c r="G568" s="2">
        <f t="shared" si="3"/>
        <v>0</v>
      </c>
      <c r="H568" s="2">
        <f t="shared" si="4"/>
        <v>5</v>
      </c>
      <c r="I568" s="2">
        <f t="shared" si="5"/>
        <v>3391</v>
      </c>
    </row>
    <row r="569" ht="15.75" customHeight="1">
      <c r="A569" s="3">
        <v>44995.0</v>
      </c>
      <c r="B569" s="2" t="s">
        <v>33</v>
      </c>
      <c r="C569" s="2" t="s">
        <v>35</v>
      </c>
      <c r="D569" s="2" t="s">
        <v>16</v>
      </c>
      <c r="E569" s="2">
        <f t="shared" si="1"/>
        <v>4880</v>
      </c>
      <c r="F569" s="2">
        <f t="shared" si="2"/>
        <v>292.8</v>
      </c>
      <c r="G569" s="2">
        <f t="shared" si="3"/>
        <v>0</v>
      </c>
      <c r="H569" s="2">
        <f t="shared" si="4"/>
        <v>15</v>
      </c>
      <c r="I569" s="2">
        <f t="shared" si="5"/>
        <v>1367</v>
      </c>
    </row>
    <row r="570" ht="15.75" customHeight="1">
      <c r="A570" s="3">
        <v>44996.0</v>
      </c>
      <c r="B570" s="2" t="s">
        <v>14</v>
      </c>
      <c r="C570" s="2" t="s">
        <v>15</v>
      </c>
      <c r="D570" s="2" t="s">
        <v>19</v>
      </c>
      <c r="E570" s="2">
        <f t="shared" si="1"/>
        <v>10543</v>
      </c>
      <c r="F570" s="2">
        <f t="shared" si="2"/>
        <v>527.15</v>
      </c>
      <c r="G570" s="2">
        <f t="shared" si="3"/>
        <v>195.0455</v>
      </c>
      <c r="H570" s="2">
        <f t="shared" si="4"/>
        <v>105</v>
      </c>
      <c r="I570" s="2">
        <f t="shared" si="5"/>
        <v>3711</v>
      </c>
    </row>
    <row r="571" ht="15.75" customHeight="1">
      <c r="A571" s="3">
        <v>44996.0</v>
      </c>
      <c r="B571" s="2" t="s">
        <v>14</v>
      </c>
      <c r="C571" s="2" t="s">
        <v>17</v>
      </c>
      <c r="D571" s="2" t="s">
        <v>19</v>
      </c>
      <c r="E571" s="2">
        <f t="shared" si="1"/>
        <v>8293</v>
      </c>
      <c r="F571" s="2">
        <f t="shared" si="2"/>
        <v>580.51</v>
      </c>
      <c r="G571" s="2">
        <f t="shared" si="3"/>
        <v>505.0437</v>
      </c>
      <c r="H571" s="2">
        <f t="shared" si="4"/>
        <v>64</v>
      </c>
      <c r="I571" s="2">
        <f t="shared" si="5"/>
        <v>3153</v>
      </c>
    </row>
    <row r="572" ht="15.75" customHeight="1">
      <c r="A572" s="3">
        <v>44996.0</v>
      </c>
      <c r="B572" s="2" t="s">
        <v>20</v>
      </c>
      <c r="C572" s="2" t="s">
        <v>21</v>
      </c>
      <c r="D572" s="2" t="s">
        <v>32</v>
      </c>
      <c r="E572" s="2">
        <f t="shared" si="1"/>
        <v>2057</v>
      </c>
      <c r="F572" s="2">
        <f t="shared" si="2"/>
        <v>205.7</v>
      </c>
      <c r="G572" s="2">
        <f t="shared" si="3"/>
        <v>394.944</v>
      </c>
      <c r="H572" s="2">
        <f t="shared" si="4"/>
        <v>37</v>
      </c>
      <c r="I572" s="2">
        <f t="shared" si="5"/>
        <v>4782</v>
      </c>
    </row>
    <row r="573" ht="15.75" customHeight="1">
      <c r="A573" s="3">
        <v>44996.0</v>
      </c>
      <c r="B573" s="2" t="s">
        <v>20</v>
      </c>
      <c r="C573" s="2" t="s">
        <v>23</v>
      </c>
      <c r="D573" s="2" t="s">
        <v>13</v>
      </c>
      <c r="E573" s="2">
        <f t="shared" si="1"/>
        <v>2682</v>
      </c>
      <c r="F573" s="2">
        <f t="shared" si="2"/>
        <v>187.74</v>
      </c>
      <c r="G573" s="2">
        <f t="shared" si="3"/>
        <v>56.322</v>
      </c>
      <c r="H573" s="2">
        <f t="shared" si="4"/>
        <v>36</v>
      </c>
      <c r="I573" s="2">
        <f t="shared" si="5"/>
        <v>3067</v>
      </c>
    </row>
    <row r="574" ht="15.75" customHeight="1">
      <c r="A574" s="3">
        <v>44996.0</v>
      </c>
      <c r="B574" s="2" t="s">
        <v>26</v>
      </c>
      <c r="C574" s="2" t="s">
        <v>27</v>
      </c>
      <c r="D574" s="2" t="s">
        <v>30</v>
      </c>
      <c r="E574" s="2">
        <f t="shared" si="1"/>
        <v>14734</v>
      </c>
      <c r="F574" s="2">
        <f t="shared" si="2"/>
        <v>294.68</v>
      </c>
      <c r="G574" s="2">
        <f t="shared" si="3"/>
        <v>88.404</v>
      </c>
      <c r="H574" s="2">
        <f t="shared" si="4"/>
        <v>18</v>
      </c>
      <c r="I574" s="2">
        <f t="shared" si="5"/>
        <v>2311</v>
      </c>
    </row>
    <row r="575" ht="15.75" customHeight="1">
      <c r="A575" s="3">
        <v>44996.0</v>
      </c>
      <c r="B575" s="2" t="s">
        <v>26</v>
      </c>
      <c r="C575" s="2" t="s">
        <v>31</v>
      </c>
      <c r="D575" s="2" t="s">
        <v>22</v>
      </c>
      <c r="E575" s="2">
        <f t="shared" si="1"/>
        <v>9505</v>
      </c>
      <c r="F575" s="2">
        <f t="shared" si="2"/>
        <v>665.35</v>
      </c>
      <c r="G575" s="2">
        <f t="shared" si="3"/>
        <v>1217.5905</v>
      </c>
      <c r="H575" s="2">
        <f t="shared" si="4"/>
        <v>60</v>
      </c>
      <c r="I575" s="2">
        <f t="shared" si="5"/>
        <v>3818</v>
      </c>
    </row>
    <row r="576" ht="15.75" customHeight="1">
      <c r="A576" s="3">
        <v>44996.0</v>
      </c>
      <c r="B576" s="2" t="s">
        <v>33</v>
      </c>
      <c r="C576" s="2" t="s">
        <v>34</v>
      </c>
      <c r="D576" s="2" t="s">
        <v>30</v>
      </c>
      <c r="E576" s="2">
        <f t="shared" si="1"/>
        <v>4445</v>
      </c>
      <c r="F576" s="2">
        <f t="shared" si="2"/>
        <v>222.25</v>
      </c>
      <c r="G576" s="2">
        <f t="shared" si="3"/>
        <v>0</v>
      </c>
      <c r="H576" s="2">
        <f t="shared" si="4"/>
        <v>27</v>
      </c>
      <c r="I576" s="2">
        <f t="shared" si="5"/>
        <v>1666</v>
      </c>
    </row>
    <row r="577" ht="15.75" customHeight="1">
      <c r="A577" s="3">
        <v>44996.0</v>
      </c>
      <c r="B577" s="2" t="s">
        <v>33</v>
      </c>
      <c r="C577" s="2" t="s">
        <v>35</v>
      </c>
      <c r="D577" s="2" t="s">
        <v>32</v>
      </c>
      <c r="E577" s="2">
        <f t="shared" si="1"/>
        <v>4413</v>
      </c>
      <c r="F577" s="2">
        <f t="shared" si="2"/>
        <v>308.91</v>
      </c>
      <c r="G577" s="2">
        <f t="shared" si="3"/>
        <v>0</v>
      </c>
      <c r="H577" s="2">
        <f t="shared" si="4"/>
        <v>56</v>
      </c>
      <c r="I577" s="2">
        <f t="shared" si="5"/>
        <v>4562</v>
      </c>
    </row>
    <row r="578" ht="15.75" customHeight="1">
      <c r="A578" s="3">
        <v>44997.0</v>
      </c>
      <c r="B578" s="2" t="s">
        <v>14</v>
      </c>
      <c r="C578" s="2" t="s">
        <v>15</v>
      </c>
      <c r="D578" s="2" t="s">
        <v>19</v>
      </c>
      <c r="E578" s="2">
        <f t="shared" si="1"/>
        <v>10056</v>
      </c>
      <c r="F578" s="2">
        <f t="shared" si="2"/>
        <v>201.12</v>
      </c>
      <c r="G578" s="2">
        <f t="shared" si="3"/>
        <v>136.7616</v>
      </c>
      <c r="H578" s="2">
        <f t="shared" si="4"/>
        <v>20</v>
      </c>
      <c r="I578" s="2">
        <f t="shared" si="5"/>
        <v>3207</v>
      </c>
    </row>
    <row r="579" ht="15.75" customHeight="1">
      <c r="A579" s="3">
        <v>44997.0</v>
      </c>
      <c r="B579" s="2" t="s">
        <v>14</v>
      </c>
      <c r="C579" s="2" t="s">
        <v>17</v>
      </c>
      <c r="D579" s="2" t="s">
        <v>18</v>
      </c>
      <c r="E579" s="2">
        <f t="shared" si="1"/>
        <v>7784</v>
      </c>
      <c r="F579" s="2">
        <f t="shared" si="2"/>
        <v>311.36</v>
      </c>
      <c r="G579" s="2">
        <f t="shared" si="3"/>
        <v>398.5408</v>
      </c>
      <c r="H579" s="2">
        <f t="shared" si="4"/>
        <v>56</v>
      </c>
      <c r="I579" s="2">
        <f t="shared" si="5"/>
        <v>562</v>
      </c>
    </row>
    <row r="580" ht="15.75" customHeight="1">
      <c r="A580" s="3">
        <v>44997.0</v>
      </c>
      <c r="B580" s="2" t="s">
        <v>20</v>
      </c>
      <c r="C580" s="2" t="s">
        <v>21</v>
      </c>
      <c r="D580" s="2" t="s">
        <v>25</v>
      </c>
      <c r="E580" s="2">
        <f t="shared" si="1"/>
        <v>3247</v>
      </c>
      <c r="F580" s="2">
        <f t="shared" si="2"/>
        <v>324.7</v>
      </c>
      <c r="G580" s="2">
        <f t="shared" si="3"/>
        <v>181.832</v>
      </c>
      <c r="H580" s="2">
        <f t="shared" si="4"/>
        <v>16</v>
      </c>
      <c r="I580" s="2">
        <f t="shared" si="5"/>
        <v>1665</v>
      </c>
    </row>
    <row r="581" ht="15.75" customHeight="1">
      <c r="A581" s="3">
        <v>44997.0</v>
      </c>
      <c r="B581" s="2" t="s">
        <v>20</v>
      </c>
      <c r="C581" s="2" t="s">
        <v>23</v>
      </c>
      <c r="D581" s="2" t="s">
        <v>30</v>
      </c>
      <c r="E581" s="2">
        <f t="shared" si="1"/>
        <v>4611</v>
      </c>
      <c r="F581" s="2">
        <f t="shared" si="2"/>
        <v>92.22</v>
      </c>
      <c r="G581" s="2">
        <f t="shared" si="3"/>
        <v>82.998</v>
      </c>
      <c r="H581" s="2">
        <f t="shared" si="4"/>
        <v>8</v>
      </c>
      <c r="I581" s="2">
        <f t="shared" si="5"/>
        <v>4508</v>
      </c>
    </row>
    <row r="582" ht="15.75" customHeight="1">
      <c r="A582" s="3">
        <v>44997.0</v>
      </c>
      <c r="B582" s="2" t="s">
        <v>26</v>
      </c>
      <c r="C582" s="2" t="s">
        <v>27</v>
      </c>
      <c r="D582" s="2" t="s">
        <v>32</v>
      </c>
      <c r="E582" s="2">
        <f t="shared" si="1"/>
        <v>10901</v>
      </c>
      <c r="F582" s="2">
        <f t="shared" si="2"/>
        <v>1090.1</v>
      </c>
      <c r="G582" s="2">
        <f t="shared" si="3"/>
        <v>2071.19</v>
      </c>
      <c r="H582" s="2">
        <f t="shared" si="4"/>
        <v>218</v>
      </c>
      <c r="I582" s="2">
        <f t="shared" si="5"/>
        <v>3368</v>
      </c>
    </row>
    <row r="583" ht="15.75" customHeight="1">
      <c r="A583" s="3">
        <v>44997.0</v>
      </c>
      <c r="B583" s="2" t="s">
        <v>26</v>
      </c>
      <c r="C583" s="2" t="s">
        <v>31</v>
      </c>
      <c r="D583" s="2" t="s">
        <v>32</v>
      </c>
      <c r="E583" s="2">
        <f t="shared" si="1"/>
        <v>10068</v>
      </c>
      <c r="F583" s="2">
        <f t="shared" si="2"/>
        <v>604.08</v>
      </c>
      <c r="G583" s="2">
        <f t="shared" si="3"/>
        <v>706.7736</v>
      </c>
      <c r="H583" s="2">
        <f t="shared" si="4"/>
        <v>60</v>
      </c>
      <c r="I583" s="2">
        <f t="shared" si="5"/>
        <v>1298</v>
      </c>
    </row>
    <row r="584" ht="15.75" customHeight="1">
      <c r="A584" s="3">
        <v>44997.0</v>
      </c>
      <c r="B584" s="2" t="s">
        <v>33</v>
      </c>
      <c r="C584" s="2" t="s">
        <v>34</v>
      </c>
      <c r="D584" s="2" t="s">
        <v>13</v>
      </c>
      <c r="E584" s="2">
        <f t="shared" si="1"/>
        <v>5693</v>
      </c>
      <c r="F584" s="2">
        <f t="shared" si="2"/>
        <v>569.3</v>
      </c>
      <c r="G584" s="2">
        <f t="shared" si="3"/>
        <v>0</v>
      </c>
      <c r="H584" s="2">
        <f t="shared" si="4"/>
        <v>46</v>
      </c>
      <c r="I584" s="2">
        <f t="shared" si="5"/>
        <v>3219</v>
      </c>
    </row>
    <row r="585" ht="15.75" customHeight="1">
      <c r="A585" s="3">
        <v>44997.0</v>
      </c>
      <c r="B585" s="2" t="s">
        <v>33</v>
      </c>
      <c r="C585" s="2" t="s">
        <v>35</v>
      </c>
      <c r="D585" s="2" t="s">
        <v>28</v>
      </c>
      <c r="E585" s="2">
        <f t="shared" si="1"/>
        <v>5368</v>
      </c>
      <c r="F585" s="2">
        <f t="shared" si="2"/>
        <v>107.36</v>
      </c>
      <c r="G585" s="2">
        <f t="shared" si="3"/>
        <v>0</v>
      </c>
      <c r="H585" s="2">
        <f t="shared" si="4"/>
        <v>11</v>
      </c>
      <c r="I585" s="2">
        <f t="shared" si="5"/>
        <v>990</v>
      </c>
    </row>
    <row r="586" ht="15.75" customHeight="1">
      <c r="A586" s="3">
        <v>44998.0</v>
      </c>
      <c r="B586" s="2" t="s">
        <v>14</v>
      </c>
      <c r="C586" s="2" t="s">
        <v>15</v>
      </c>
      <c r="D586" s="2" t="s">
        <v>18</v>
      </c>
      <c r="E586" s="2">
        <f t="shared" si="1"/>
        <v>8015</v>
      </c>
      <c r="F586" s="2">
        <f t="shared" si="2"/>
        <v>561.05</v>
      </c>
      <c r="G586" s="2">
        <f t="shared" si="3"/>
        <v>246.862</v>
      </c>
      <c r="H586" s="2">
        <f t="shared" si="4"/>
        <v>62</v>
      </c>
      <c r="I586" s="2">
        <f t="shared" si="5"/>
        <v>1182</v>
      </c>
    </row>
    <row r="587" ht="15.75" customHeight="1">
      <c r="A587" s="3">
        <v>44998.0</v>
      </c>
      <c r="B587" s="2" t="s">
        <v>14</v>
      </c>
      <c r="C587" s="2" t="s">
        <v>17</v>
      </c>
      <c r="D587" s="2" t="s">
        <v>16</v>
      </c>
      <c r="E587" s="2">
        <f t="shared" si="1"/>
        <v>6170</v>
      </c>
      <c r="F587" s="2">
        <f t="shared" si="2"/>
        <v>431.9</v>
      </c>
      <c r="G587" s="2">
        <f t="shared" si="3"/>
        <v>608.979</v>
      </c>
      <c r="H587" s="2">
        <f t="shared" si="4"/>
        <v>39</v>
      </c>
      <c r="I587" s="2">
        <f t="shared" si="5"/>
        <v>1329</v>
      </c>
    </row>
    <row r="588" ht="15.75" customHeight="1">
      <c r="A588" s="3">
        <v>44998.0</v>
      </c>
      <c r="B588" s="2" t="s">
        <v>20</v>
      </c>
      <c r="C588" s="2" t="s">
        <v>21</v>
      </c>
      <c r="D588" s="2" t="s">
        <v>19</v>
      </c>
      <c r="E588" s="2">
        <f t="shared" si="1"/>
        <v>4306</v>
      </c>
      <c r="F588" s="2">
        <f t="shared" si="2"/>
        <v>258.36</v>
      </c>
      <c r="G588" s="2">
        <f t="shared" si="3"/>
        <v>452.13</v>
      </c>
      <c r="H588" s="2">
        <f t="shared" si="4"/>
        <v>52</v>
      </c>
      <c r="I588" s="2">
        <f t="shared" si="5"/>
        <v>2929</v>
      </c>
    </row>
    <row r="589" ht="15.75" customHeight="1">
      <c r="A589" s="3">
        <v>44998.0</v>
      </c>
      <c r="B589" s="2" t="s">
        <v>20</v>
      </c>
      <c r="C589" s="2" t="s">
        <v>23</v>
      </c>
      <c r="D589" s="2" t="s">
        <v>13</v>
      </c>
      <c r="E589" s="2">
        <f t="shared" si="1"/>
        <v>3729</v>
      </c>
      <c r="F589" s="2">
        <f t="shared" si="2"/>
        <v>261.03</v>
      </c>
      <c r="G589" s="2">
        <f t="shared" si="3"/>
        <v>469.854</v>
      </c>
      <c r="H589" s="2">
        <f t="shared" si="4"/>
        <v>37</v>
      </c>
      <c r="I589" s="2">
        <f t="shared" si="5"/>
        <v>943</v>
      </c>
    </row>
    <row r="590" ht="15.75" customHeight="1">
      <c r="A590" s="3">
        <v>44998.0</v>
      </c>
      <c r="B590" s="2" t="s">
        <v>26</v>
      </c>
      <c r="C590" s="2" t="s">
        <v>27</v>
      </c>
      <c r="D590" s="2" t="s">
        <v>22</v>
      </c>
      <c r="E590" s="2">
        <f t="shared" si="1"/>
        <v>13624</v>
      </c>
      <c r="F590" s="2">
        <f t="shared" si="2"/>
        <v>1089.92</v>
      </c>
      <c r="G590" s="2">
        <f t="shared" si="3"/>
        <v>1111.7184</v>
      </c>
      <c r="H590" s="2">
        <f t="shared" si="4"/>
        <v>65</v>
      </c>
      <c r="I590" s="2">
        <f t="shared" si="5"/>
        <v>2204</v>
      </c>
    </row>
    <row r="591" ht="15.75" customHeight="1">
      <c r="A591" s="3">
        <v>44998.0</v>
      </c>
      <c r="B591" s="2" t="s">
        <v>26</v>
      </c>
      <c r="C591" s="2" t="s">
        <v>31</v>
      </c>
      <c r="D591" s="2" t="s">
        <v>24</v>
      </c>
      <c r="E591" s="2">
        <f t="shared" si="1"/>
        <v>12879</v>
      </c>
      <c r="F591" s="2">
        <f t="shared" si="2"/>
        <v>515.16</v>
      </c>
      <c r="G591" s="2">
        <f t="shared" si="3"/>
        <v>154.548</v>
      </c>
      <c r="H591" s="2">
        <f t="shared" si="4"/>
        <v>46</v>
      </c>
      <c r="I591" s="2">
        <f t="shared" si="5"/>
        <v>2278</v>
      </c>
    </row>
    <row r="592" ht="15.75" customHeight="1">
      <c r="A592" s="3">
        <v>44998.0</v>
      </c>
      <c r="B592" s="2" t="s">
        <v>33</v>
      </c>
      <c r="C592" s="2" t="s">
        <v>34</v>
      </c>
      <c r="D592" s="2" t="s">
        <v>19</v>
      </c>
      <c r="E592" s="2">
        <f t="shared" si="1"/>
        <v>5001</v>
      </c>
      <c r="F592" s="2">
        <f t="shared" si="2"/>
        <v>350.07</v>
      </c>
      <c r="G592" s="2">
        <f t="shared" si="3"/>
        <v>0</v>
      </c>
      <c r="H592" s="2">
        <f t="shared" si="4"/>
        <v>42</v>
      </c>
      <c r="I592" s="2">
        <f t="shared" si="5"/>
        <v>1200</v>
      </c>
    </row>
    <row r="593" ht="15.75" customHeight="1">
      <c r="A593" s="3">
        <v>44998.0</v>
      </c>
      <c r="B593" s="2" t="s">
        <v>33</v>
      </c>
      <c r="C593" s="2" t="s">
        <v>35</v>
      </c>
      <c r="D593" s="2" t="s">
        <v>30</v>
      </c>
      <c r="E593" s="2">
        <f t="shared" si="1"/>
        <v>5541</v>
      </c>
      <c r="F593" s="2">
        <f t="shared" si="2"/>
        <v>110.82</v>
      </c>
      <c r="G593" s="2">
        <f t="shared" si="3"/>
        <v>0</v>
      </c>
      <c r="H593" s="2">
        <f t="shared" si="4"/>
        <v>13</v>
      </c>
      <c r="I593" s="2">
        <f t="shared" si="5"/>
        <v>1381</v>
      </c>
    </row>
    <row r="594" ht="15.75" customHeight="1">
      <c r="A594" s="3">
        <v>44999.0</v>
      </c>
      <c r="B594" s="2" t="s">
        <v>14</v>
      </c>
      <c r="C594" s="2" t="s">
        <v>15</v>
      </c>
      <c r="D594" s="2" t="s">
        <v>24</v>
      </c>
      <c r="E594" s="2">
        <f t="shared" si="1"/>
        <v>8232</v>
      </c>
      <c r="F594" s="2">
        <f t="shared" si="2"/>
        <v>823.2</v>
      </c>
      <c r="G594" s="2">
        <f t="shared" si="3"/>
        <v>1473.528</v>
      </c>
      <c r="H594" s="2">
        <f t="shared" si="4"/>
        <v>165</v>
      </c>
      <c r="I594" s="2">
        <f t="shared" si="5"/>
        <v>2900</v>
      </c>
    </row>
    <row r="595" ht="15.75" customHeight="1">
      <c r="A595" s="3">
        <v>44999.0</v>
      </c>
      <c r="B595" s="2" t="s">
        <v>14</v>
      </c>
      <c r="C595" s="2" t="s">
        <v>17</v>
      </c>
      <c r="D595" s="2" t="s">
        <v>24</v>
      </c>
      <c r="E595" s="2">
        <f t="shared" si="1"/>
        <v>8520</v>
      </c>
      <c r="F595" s="2">
        <f t="shared" si="2"/>
        <v>511.2</v>
      </c>
      <c r="G595" s="2">
        <f t="shared" si="3"/>
        <v>930.384</v>
      </c>
      <c r="H595" s="2">
        <f t="shared" si="4"/>
        <v>97</v>
      </c>
      <c r="I595" s="2">
        <f t="shared" si="5"/>
        <v>1404</v>
      </c>
    </row>
    <row r="596" ht="15.75" customHeight="1">
      <c r="A596" s="3">
        <v>44999.0</v>
      </c>
      <c r="B596" s="2" t="s">
        <v>20</v>
      </c>
      <c r="C596" s="2" t="s">
        <v>21</v>
      </c>
      <c r="D596" s="2" t="s">
        <v>30</v>
      </c>
      <c r="E596" s="2">
        <f t="shared" si="1"/>
        <v>2335</v>
      </c>
      <c r="F596" s="2">
        <f t="shared" si="2"/>
        <v>186.8</v>
      </c>
      <c r="G596" s="2">
        <f t="shared" si="3"/>
        <v>212.952</v>
      </c>
      <c r="H596" s="2">
        <f t="shared" si="4"/>
        <v>15</v>
      </c>
      <c r="I596" s="2">
        <f t="shared" si="5"/>
        <v>3299</v>
      </c>
    </row>
    <row r="597" ht="15.75" customHeight="1">
      <c r="A597" s="3">
        <v>44999.0</v>
      </c>
      <c r="B597" s="2" t="s">
        <v>20</v>
      </c>
      <c r="C597" s="2" t="s">
        <v>23</v>
      </c>
      <c r="D597" s="2" t="s">
        <v>25</v>
      </c>
      <c r="E597" s="2">
        <f t="shared" si="1"/>
        <v>2953</v>
      </c>
      <c r="F597" s="2">
        <f t="shared" si="2"/>
        <v>236.24</v>
      </c>
      <c r="G597" s="2">
        <f t="shared" si="3"/>
        <v>174.8176</v>
      </c>
      <c r="H597" s="2">
        <f t="shared" si="4"/>
        <v>17</v>
      </c>
      <c r="I597" s="2">
        <f t="shared" si="5"/>
        <v>745</v>
      </c>
    </row>
    <row r="598" ht="15.75" customHeight="1">
      <c r="A598" s="3">
        <v>44999.0</v>
      </c>
      <c r="B598" s="2" t="s">
        <v>26</v>
      </c>
      <c r="C598" s="2" t="s">
        <v>27</v>
      </c>
      <c r="D598" s="2" t="s">
        <v>18</v>
      </c>
      <c r="E598" s="2">
        <f t="shared" si="1"/>
        <v>12395</v>
      </c>
      <c r="F598" s="2">
        <f t="shared" si="2"/>
        <v>495.8</v>
      </c>
      <c r="G598" s="2">
        <f t="shared" si="3"/>
        <v>267.732</v>
      </c>
      <c r="H598" s="2">
        <f t="shared" si="4"/>
        <v>55</v>
      </c>
      <c r="I598" s="2">
        <f t="shared" si="5"/>
        <v>1401</v>
      </c>
    </row>
    <row r="599" ht="15.75" customHeight="1">
      <c r="A599" s="3">
        <v>44999.0</v>
      </c>
      <c r="B599" s="2" t="s">
        <v>26</v>
      </c>
      <c r="C599" s="2" t="s">
        <v>31</v>
      </c>
      <c r="D599" s="2" t="s">
        <v>18</v>
      </c>
      <c r="E599" s="2">
        <f t="shared" si="1"/>
        <v>14643</v>
      </c>
      <c r="F599" s="2">
        <f t="shared" si="2"/>
        <v>585.72</v>
      </c>
      <c r="G599" s="2">
        <f t="shared" si="3"/>
        <v>415.8612</v>
      </c>
      <c r="H599" s="2">
        <f t="shared" si="4"/>
        <v>59</v>
      </c>
      <c r="I599" s="2">
        <f t="shared" si="5"/>
        <v>4956</v>
      </c>
    </row>
    <row r="600" ht="15.75" customHeight="1">
      <c r="A600" s="3">
        <v>44999.0</v>
      </c>
      <c r="B600" s="2" t="s">
        <v>33</v>
      </c>
      <c r="C600" s="2" t="s">
        <v>34</v>
      </c>
      <c r="D600" s="2" t="s">
        <v>19</v>
      </c>
      <c r="E600" s="2">
        <f t="shared" si="1"/>
        <v>2803</v>
      </c>
      <c r="F600" s="2">
        <f t="shared" si="2"/>
        <v>196.21</v>
      </c>
      <c r="G600" s="2">
        <f t="shared" si="3"/>
        <v>0</v>
      </c>
      <c r="H600" s="2">
        <f t="shared" si="4"/>
        <v>16</v>
      </c>
      <c r="I600" s="2">
        <f t="shared" si="5"/>
        <v>1374</v>
      </c>
    </row>
    <row r="601" ht="15.75" customHeight="1">
      <c r="A601" s="3">
        <v>44999.0</v>
      </c>
      <c r="B601" s="2" t="s">
        <v>33</v>
      </c>
      <c r="C601" s="2" t="s">
        <v>35</v>
      </c>
      <c r="D601" s="2" t="s">
        <v>13</v>
      </c>
      <c r="E601" s="2">
        <f t="shared" si="1"/>
        <v>5564</v>
      </c>
      <c r="F601" s="2">
        <f t="shared" si="2"/>
        <v>445.12</v>
      </c>
      <c r="G601" s="2">
        <f t="shared" si="3"/>
        <v>0</v>
      </c>
      <c r="H601" s="2">
        <f t="shared" si="4"/>
        <v>36</v>
      </c>
      <c r="I601" s="2">
        <f t="shared" si="5"/>
        <v>4882</v>
      </c>
    </row>
    <row r="602" ht="15.75" customHeight="1">
      <c r="A602" s="3">
        <v>45000.0</v>
      </c>
      <c r="B602" s="2" t="s">
        <v>14</v>
      </c>
      <c r="C602" s="2" t="s">
        <v>15</v>
      </c>
      <c r="D602" s="2" t="s">
        <v>22</v>
      </c>
      <c r="E602" s="2">
        <f t="shared" si="1"/>
        <v>6500</v>
      </c>
      <c r="F602" s="2">
        <f t="shared" si="2"/>
        <v>585</v>
      </c>
      <c r="G602" s="2">
        <f t="shared" si="3"/>
        <v>403.65</v>
      </c>
      <c r="H602" s="2">
        <f t="shared" si="4"/>
        <v>117</v>
      </c>
      <c r="I602" s="2">
        <f t="shared" si="5"/>
        <v>4252</v>
      </c>
    </row>
    <row r="603" ht="15.75" customHeight="1">
      <c r="A603" s="3">
        <v>45000.0</v>
      </c>
      <c r="B603" s="2" t="s">
        <v>14</v>
      </c>
      <c r="C603" s="2" t="s">
        <v>17</v>
      </c>
      <c r="D603" s="2" t="s">
        <v>30</v>
      </c>
      <c r="E603" s="2">
        <f t="shared" si="1"/>
        <v>7122</v>
      </c>
      <c r="F603" s="2">
        <f t="shared" si="2"/>
        <v>498.54</v>
      </c>
      <c r="G603" s="2">
        <f t="shared" si="3"/>
        <v>952.2114</v>
      </c>
      <c r="H603" s="2">
        <f t="shared" si="4"/>
        <v>35</v>
      </c>
      <c r="I603" s="2">
        <f t="shared" si="5"/>
        <v>4125</v>
      </c>
    </row>
    <row r="604" ht="15.75" customHeight="1">
      <c r="A604" s="3">
        <v>45000.0</v>
      </c>
      <c r="B604" s="2" t="s">
        <v>20</v>
      </c>
      <c r="C604" s="2" t="s">
        <v>21</v>
      </c>
      <c r="D604" s="2" t="s">
        <v>24</v>
      </c>
      <c r="E604" s="2">
        <f t="shared" si="1"/>
        <v>3528</v>
      </c>
      <c r="F604" s="2">
        <f t="shared" si="2"/>
        <v>246.96</v>
      </c>
      <c r="G604" s="2">
        <f t="shared" si="3"/>
        <v>204.9768</v>
      </c>
      <c r="H604" s="2">
        <f t="shared" si="4"/>
        <v>30</v>
      </c>
      <c r="I604" s="2">
        <f t="shared" si="5"/>
        <v>1005</v>
      </c>
    </row>
    <row r="605" ht="15.75" customHeight="1">
      <c r="A605" s="3">
        <v>45000.0</v>
      </c>
      <c r="B605" s="2" t="s">
        <v>20</v>
      </c>
      <c r="C605" s="2" t="s">
        <v>23</v>
      </c>
      <c r="D605" s="2" t="s">
        <v>30</v>
      </c>
      <c r="E605" s="2">
        <f t="shared" si="1"/>
        <v>4079</v>
      </c>
      <c r="F605" s="2">
        <f t="shared" si="2"/>
        <v>163.16</v>
      </c>
      <c r="G605" s="2">
        <f t="shared" si="3"/>
        <v>195.792</v>
      </c>
      <c r="H605" s="2">
        <f t="shared" si="4"/>
        <v>31</v>
      </c>
      <c r="I605" s="2">
        <f t="shared" si="5"/>
        <v>3960</v>
      </c>
    </row>
    <row r="606" ht="15.75" customHeight="1">
      <c r="A606" s="3">
        <v>45000.0</v>
      </c>
      <c r="B606" s="2" t="s">
        <v>26</v>
      </c>
      <c r="C606" s="2" t="s">
        <v>27</v>
      </c>
      <c r="D606" s="2" t="s">
        <v>22</v>
      </c>
      <c r="E606" s="2">
        <f t="shared" si="1"/>
        <v>8385</v>
      </c>
      <c r="F606" s="2">
        <f t="shared" si="2"/>
        <v>419.25</v>
      </c>
      <c r="G606" s="2">
        <f t="shared" si="3"/>
        <v>570.18</v>
      </c>
      <c r="H606" s="2">
        <f t="shared" si="4"/>
        <v>59</v>
      </c>
      <c r="I606" s="2">
        <f t="shared" si="5"/>
        <v>224</v>
      </c>
    </row>
    <row r="607" ht="15.75" customHeight="1">
      <c r="A607" s="3">
        <v>45000.0</v>
      </c>
      <c r="B607" s="2" t="s">
        <v>26</v>
      </c>
      <c r="C607" s="2" t="s">
        <v>31</v>
      </c>
      <c r="D607" s="2" t="s">
        <v>28</v>
      </c>
      <c r="E607" s="2">
        <f t="shared" si="1"/>
        <v>8645</v>
      </c>
      <c r="F607" s="2">
        <f t="shared" si="2"/>
        <v>432.25</v>
      </c>
      <c r="G607" s="2">
        <f t="shared" si="3"/>
        <v>138.32</v>
      </c>
      <c r="H607" s="2">
        <f t="shared" si="4"/>
        <v>78</v>
      </c>
      <c r="I607" s="2">
        <f t="shared" si="5"/>
        <v>1771</v>
      </c>
    </row>
    <row r="608" ht="15.75" customHeight="1">
      <c r="A608" s="3">
        <v>45000.0</v>
      </c>
      <c r="B608" s="2" t="s">
        <v>33</v>
      </c>
      <c r="C608" s="2" t="s">
        <v>34</v>
      </c>
      <c r="D608" s="2" t="s">
        <v>22</v>
      </c>
      <c r="E608" s="2">
        <f t="shared" si="1"/>
        <v>3371</v>
      </c>
      <c r="F608" s="2">
        <f t="shared" si="2"/>
        <v>337.1</v>
      </c>
      <c r="G608" s="2">
        <f t="shared" si="3"/>
        <v>0</v>
      </c>
      <c r="H608" s="2">
        <f t="shared" si="4"/>
        <v>37</v>
      </c>
      <c r="I608" s="2">
        <f t="shared" si="5"/>
        <v>4953</v>
      </c>
    </row>
    <row r="609" ht="15.75" customHeight="1">
      <c r="A609" s="3">
        <v>45000.0</v>
      </c>
      <c r="B609" s="2" t="s">
        <v>33</v>
      </c>
      <c r="C609" s="2" t="s">
        <v>35</v>
      </c>
      <c r="D609" s="2" t="s">
        <v>13</v>
      </c>
      <c r="E609" s="2">
        <f t="shared" si="1"/>
        <v>2442</v>
      </c>
      <c r="F609" s="2">
        <f t="shared" si="2"/>
        <v>219.78</v>
      </c>
      <c r="G609" s="2">
        <f t="shared" si="3"/>
        <v>0</v>
      </c>
      <c r="H609" s="2">
        <f t="shared" si="4"/>
        <v>29</v>
      </c>
      <c r="I609" s="2">
        <f t="shared" si="5"/>
        <v>4078</v>
      </c>
    </row>
    <row r="610" ht="15.75" customHeight="1">
      <c r="A610" s="3">
        <v>45001.0</v>
      </c>
      <c r="B610" s="2" t="s">
        <v>14</v>
      </c>
      <c r="C610" s="2" t="s">
        <v>15</v>
      </c>
      <c r="D610" s="2" t="s">
        <v>18</v>
      </c>
      <c r="E610" s="2">
        <f t="shared" si="1"/>
        <v>10767</v>
      </c>
      <c r="F610" s="2">
        <f t="shared" si="2"/>
        <v>969.03</v>
      </c>
      <c r="G610" s="2">
        <f t="shared" si="3"/>
        <v>1511.6868</v>
      </c>
      <c r="H610" s="2">
        <f t="shared" si="4"/>
        <v>194</v>
      </c>
      <c r="I610" s="2">
        <f t="shared" si="5"/>
        <v>803</v>
      </c>
    </row>
    <row r="611" ht="15.75" customHeight="1">
      <c r="A611" s="3">
        <v>45001.0</v>
      </c>
      <c r="B611" s="2" t="s">
        <v>14</v>
      </c>
      <c r="C611" s="2" t="s">
        <v>17</v>
      </c>
      <c r="D611" s="2" t="s">
        <v>30</v>
      </c>
      <c r="E611" s="2">
        <f t="shared" si="1"/>
        <v>8138</v>
      </c>
      <c r="F611" s="2">
        <f t="shared" si="2"/>
        <v>488.28</v>
      </c>
      <c r="G611" s="2">
        <f t="shared" si="3"/>
        <v>322.2648</v>
      </c>
      <c r="H611" s="2">
        <f t="shared" si="4"/>
        <v>98</v>
      </c>
      <c r="I611" s="2">
        <f t="shared" si="5"/>
        <v>4528</v>
      </c>
    </row>
    <row r="612" ht="15.75" customHeight="1">
      <c r="A612" s="3">
        <v>45001.0</v>
      </c>
      <c r="B612" s="2" t="s">
        <v>20</v>
      </c>
      <c r="C612" s="2" t="s">
        <v>21</v>
      </c>
      <c r="D612" s="2" t="s">
        <v>32</v>
      </c>
      <c r="E612" s="2">
        <f t="shared" si="1"/>
        <v>4188</v>
      </c>
      <c r="F612" s="2">
        <f t="shared" si="2"/>
        <v>251.28</v>
      </c>
      <c r="G612" s="2">
        <f t="shared" si="3"/>
        <v>213.588</v>
      </c>
      <c r="H612" s="2">
        <f t="shared" si="4"/>
        <v>25</v>
      </c>
      <c r="I612" s="2">
        <f t="shared" si="5"/>
        <v>1454</v>
      </c>
    </row>
    <row r="613" ht="15.75" customHeight="1">
      <c r="A613" s="3">
        <v>45001.0</v>
      </c>
      <c r="B613" s="2" t="s">
        <v>20</v>
      </c>
      <c r="C613" s="2" t="s">
        <v>23</v>
      </c>
      <c r="D613" s="2" t="s">
        <v>25</v>
      </c>
      <c r="E613" s="2">
        <f t="shared" si="1"/>
        <v>3496</v>
      </c>
      <c r="F613" s="2">
        <f t="shared" si="2"/>
        <v>174.8</v>
      </c>
      <c r="G613" s="2">
        <f t="shared" si="3"/>
        <v>225.492</v>
      </c>
      <c r="H613" s="2">
        <f t="shared" si="4"/>
        <v>28</v>
      </c>
      <c r="I613" s="2">
        <f t="shared" si="5"/>
        <v>3579</v>
      </c>
    </row>
    <row r="614" ht="15.75" customHeight="1">
      <c r="A614" s="3">
        <v>45001.0</v>
      </c>
      <c r="B614" s="2" t="s">
        <v>26</v>
      </c>
      <c r="C614" s="2" t="s">
        <v>27</v>
      </c>
      <c r="D614" s="2" t="s">
        <v>30</v>
      </c>
      <c r="E614" s="2">
        <f t="shared" si="1"/>
        <v>10963</v>
      </c>
      <c r="F614" s="2">
        <f t="shared" si="2"/>
        <v>657.78</v>
      </c>
      <c r="G614" s="2">
        <f t="shared" si="3"/>
        <v>1006.4034</v>
      </c>
      <c r="H614" s="2">
        <f t="shared" si="4"/>
        <v>112</v>
      </c>
      <c r="I614" s="2">
        <f t="shared" si="5"/>
        <v>1918</v>
      </c>
    </row>
    <row r="615" ht="15.75" customHeight="1">
      <c r="A615" s="3">
        <v>45001.0</v>
      </c>
      <c r="B615" s="2" t="s">
        <v>26</v>
      </c>
      <c r="C615" s="2" t="s">
        <v>31</v>
      </c>
      <c r="D615" s="2" t="s">
        <v>19</v>
      </c>
      <c r="E615" s="2">
        <f t="shared" si="1"/>
        <v>9887</v>
      </c>
      <c r="F615" s="2">
        <f t="shared" si="2"/>
        <v>593.22</v>
      </c>
      <c r="G615" s="2">
        <f t="shared" si="3"/>
        <v>1002.5418</v>
      </c>
      <c r="H615" s="2">
        <f t="shared" si="4"/>
        <v>113</v>
      </c>
      <c r="I615" s="2">
        <f t="shared" si="5"/>
        <v>722</v>
      </c>
    </row>
    <row r="616" ht="15.75" customHeight="1">
      <c r="A616" s="3">
        <v>45001.0</v>
      </c>
      <c r="B616" s="2" t="s">
        <v>33</v>
      </c>
      <c r="C616" s="2" t="s">
        <v>34</v>
      </c>
      <c r="D616" s="2" t="s">
        <v>19</v>
      </c>
      <c r="E616" s="2">
        <f t="shared" si="1"/>
        <v>3897</v>
      </c>
      <c r="F616" s="2">
        <f t="shared" si="2"/>
        <v>389.7</v>
      </c>
      <c r="G616" s="2">
        <f t="shared" si="3"/>
        <v>0</v>
      </c>
      <c r="H616" s="2">
        <f t="shared" si="4"/>
        <v>47</v>
      </c>
      <c r="I616" s="2">
        <f t="shared" si="5"/>
        <v>3278</v>
      </c>
    </row>
    <row r="617" ht="15.75" customHeight="1">
      <c r="A617" s="3">
        <v>45001.0</v>
      </c>
      <c r="B617" s="2" t="s">
        <v>33</v>
      </c>
      <c r="C617" s="2" t="s">
        <v>35</v>
      </c>
      <c r="D617" s="2" t="s">
        <v>25</v>
      </c>
      <c r="E617" s="2">
        <f t="shared" si="1"/>
        <v>2564</v>
      </c>
      <c r="F617" s="2">
        <f t="shared" si="2"/>
        <v>128.2</v>
      </c>
      <c r="G617" s="2">
        <f t="shared" si="3"/>
        <v>0</v>
      </c>
      <c r="H617" s="2">
        <f t="shared" si="4"/>
        <v>6</v>
      </c>
      <c r="I617" s="2">
        <f t="shared" si="5"/>
        <v>4956</v>
      </c>
    </row>
    <row r="618" ht="15.75" customHeight="1">
      <c r="A618" s="3">
        <v>45002.0</v>
      </c>
      <c r="B618" s="2" t="s">
        <v>14</v>
      </c>
      <c r="C618" s="2" t="s">
        <v>15</v>
      </c>
      <c r="D618" s="2" t="s">
        <v>13</v>
      </c>
      <c r="E618" s="2">
        <f t="shared" si="1"/>
        <v>6804</v>
      </c>
      <c r="F618" s="2">
        <f t="shared" si="2"/>
        <v>680.4</v>
      </c>
      <c r="G618" s="2">
        <f t="shared" si="3"/>
        <v>796.068</v>
      </c>
      <c r="H618" s="2">
        <f t="shared" si="4"/>
        <v>68</v>
      </c>
      <c r="I618" s="2">
        <f t="shared" si="5"/>
        <v>4634</v>
      </c>
    </row>
    <row r="619" ht="15.75" customHeight="1">
      <c r="A619" s="3">
        <v>45002.0</v>
      </c>
      <c r="B619" s="2" t="s">
        <v>14</v>
      </c>
      <c r="C619" s="2" t="s">
        <v>17</v>
      </c>
      <c r="D619" s="2" t="s">
        <v>19</v>
      </c>
      <c r="E619" s="2">
        <f t="shared" si="1"/>
        <v>6331</v>
      </c>
      <c r="F619" s="2">
        <f t="shared" si="2"/>
        <v>316.55</v>
      </c>
      <c r="G619" s="2">
        <f t="shared" si="3"/>
        <v>579.2865</v>
      </c>
      <c r="H619" s="2">
        <f t="shared" si="4"/>
        <v>47</v>
      </c>
      <c r="I619" s="2">
        <f t="shared" si="5"/>
        <v>1574</v>
      </c>
    </row>
    <row r="620" ht="15.75" customHeight="1">
      <c r="A620" s="3">
        <v>45002.0</v>
      </c>
      <c r="B620" s="2" t="s">
        <v>20</v>
      </c>
      <c r="C620" s="2" t="s">
        <v>21</v>
      </c>
      <c r="D620" s="2" t="s">
        <v>19</v>
      </c>
      <c r="E620" s="2">
        <f t="shared" si="1"/>
        <v>5971</v>
      </c>
      <c r="F620" s="2">
        <f t="shared" si="2"/>
        <v>597.1</v>
      </c>
      <c r="G620" s="2">
        <f t="shared" si="3"/>
        <v>561.274</v>
      </c>
      <c r="H620" s="2">
        <f t="shared" si="4"/>
        <v>36</v>
      </c>
      <c r="I620" s="2">
        <f t="shared" si="5"/>
        <v>2662</v>
      </c>
    </row>
    <row r="621" ht="15.75" customHeight="1">
      <c r="A621" s="3">
        <v>45002.0</v>
      </c>
      <c r="B621" s="2" t="s">
        <v>20</v>
      </c>
      <c r="C621" s="2" t="s">
        <v>23</v>
      </c>
      <c r="D621" s="2" t="s">
        <v>18</v>
      </c>
      <c r="E621" s="2">
        <f t="shared" si="1"/>
        <v>4740</v>
      </c>
      <c r="F621" s="2">
        <f t="shared" si="2"/>
        <v>284.4</v>
      </c>
      <c r="G621" s="2">
        <f t="shared" si="3"/>
        <v>244.584</v>
      </c>
      <c r="H621" s="2">
        <f t="shared" si="4"/>
        <v>48</v>
      </c>
      <c r="I621" s="2">
        <f t="shared" si="5"/>
        <v>3907</v>
      </c>
    </row>
    <row r="622" ht="15.75" customHeight="1">
      <c r="A622" s="3">
        <v>45002.0</v>
      </c>
      <c r="B622" s="2" t="s">
        <v>26</v>
      </c>
      <c r="C622" s="2" t="s">
        <v>27</v>
      </c>
      <c r="D622" s="2" t="s">
        <v>25</v>
      </c>
      <c r="E622" s="2">
        <f t="shared" si="1"/>
        <v>14723</v>
      </c>
      <c r="F622" s="2">
        <f t="shared" si="2"/>
        <v>736.15</v>
      </c>
      <c r="G622" s="2">
        <f t="shared" si="3"/>
        <v>1450.2155</v>
      </c>
      <c r="H622" s="2">
        <f t="shared" si="4"/>
        <v>125</v>
      </c>
      <c r="I622" s="2">
        <f t="shared" si="5"/>
        <v>4995</v>
      </c>
    </row>
    <row r="623" ht="15.75" customHeight="1">
      <c r="A623" s="3">
        <v>45002.0</v>
      </c>
      <c r="B623" s="2" t="s">
        <v>26</v>
      </c>
      <c r="C623" s="2" t="s">
        <v>31</v>
      </c>
      <c r="D623" s="2" t="s">
        <v>32</v>
      </c>
      <c r="E623" s="2">
        <f t="shared" si="1"/>
        <v>8273</v>
      </c>
      <c r="F623" s="2">
        <f t="shared" si="2"/>
        <v>744.57</v>
      </c>
      <c r="G623" s="2">
        <f t="shared" si="3"/>
        <v>290.3823</v>
      </c>
      <c r="H623" s="2">
        <f t="shared" si="4"/>
        <v>97</v>
      </c>
      <c r="I623" s="2">
        <f t="shared" si="5"/>
        <v>958</v>
      </c>
    </row>
    <row r="624" ht="15.75" customHeight="1">
      <c r="A624" s="3">
        <v>45002.0</v>
      </c>
      <c r="B624" s="2" t="s">
        <v>33</v>
      </c>
      <c r="C624" s="2" t="s">
        <v>34</v>
      </c>
      <c r="D624" s="2" t="s">
        <v>16</v>
      </c>
      <c r="E624" s="2">
        <f t="shared" si="1"/>
        <v>4128</v>
      </c>
      <c r="F624" s="2">
        <f t="shared" si="2"/>
        <v>371.52</v>
      </c>
      <c r="G624" s="2">
        <f t="shared" si="3"/>
        <v>0</v>
      </c>
      <c r="H624" s="2">
        <f t="shared" si="4"/>
        <v>37</v>
      </c>
      <c r="I624" s="2">
        <f t="shared" si="5"/>
        <v>2902</v>
      </c>
    </row>
    <row r="625" ht="15.75" customHeight="1">
      <c r="A625" s="3">
        <v>45002.0</v>
      </c>
      <c r="B625" s="2" t="s">
        <v>33</v>
      </c>
      <c r="C625" s="2" t="s">
        <v>35</v>
      </c>
      <c r="D625" s="2" t="s">
        <v>18</v>
      </c>
      <c r="E625" s="2">
        <f t="shared" si="1"/>
        <v>3183</v>
      </c>
      <c r="F625" s="2">
        <f t="shared" si="2"/>
        <v>159.15</v>
      </c>
      <c r="G625" s="2">
        <f t="shared" si="3"/>
        <v>0</v>
      </c>
      <c r="H625" s="2">
        <f t="shared" si="4"/>
        <v>32</v>
      </c>
      <c r="I625" s="2">
        <f t="shared" si="5"/>
        <v>262</v>
      </c>
    </row>
    <row r="626" ht="15.75" customHeight="1">
      <c r="A626" s="3">
        <v>45003.0</v>
      </c>
      <c r="B626" s="2" t="s">
        <v>14</v>
      </c>
      <c r="C626" s="2" t="s">
        <v>15</v>
      </c>
      <c r="D626" s="2" t="s">
        <v>13</v>
      </c>
      <c r="E626" s="2">
        <f t="shared" si="1"/>
        <v>5337</v>
      </c>
      <c r="F626" s="2">
        <f t="shared" si="2"/>
        <v>106.74</v>
      </c>
      <c r="G626" s="2">
        <f t="shared" si="3"/>
        <v>140.8968</v>
      </c>
      <c r="H626" s="2">
        <f t="shared" si="4"/>
        <v>13</v>
      </c>
      <c r="I626" s="2">
        <f t="shared" si="5"/>
        <v>2076</v>
      </c>
    </row>
    <row r="627" ht="15.75" customHeight="1">
      <c r="A627" s="3">
        <v>45003.0</v>
      </c>
      <c r="B627" s="2" t="s">
        <v>14</v>
      </c>
      <c r="C627" s="2" t="s">
        <v>17</v>
      </c>
      <c r="D627" s="2" t="s">
        <v>22</v>
      </c>
      <c r="E627" s="2">
        <f t="shared" si="1"/>
        <v>5748</v>
      </c>
      <c r="F627" s="2">
        <f t="shared" si="2"/>
        <v>344.88</v>
      </c>
      <c r="G627" s="2">
        <f t="shared" si="3"/>
        <v>131.0544</v>
      </c>
      <c r="H627" s="2">
        <f t="shared" si="4"/>
        <v>38</v>
      </c>
      <c r="I627" s="2">
        <f t="shared" si="5"/>
        <v>1581</v>
      </c>
    </row>
    <row r="628" ht="15.75" customHeight="1">
      <c r="A628" s="3">
        <v>45003.0</v>
      </c>
      <c r="B628" s="2" t="s">
        <v>20</v>
      </c>
      <c r="C628" s="2" t="s">
        <v>21</v>
      </c>
      <c r="D628" s="2" t="s">
        <v>18</v>
      </c>
      <c r="E628" s="2">
        <f t="shared" si="1"/>
        <v>2255</v>
      </c>
      <c r="F628" s="2">
        <f t="shared" si="2"/>
        <v>202.95</v>
      </c>
      <c r="G628" s="2">
        <f t="shared" si="3"/>
        <v>207.009</v>
      </c>
      <c r="H628" s="2">
        <f t="shared" si="4"/>
        <v>26</v>
      </c>
      <c r="I628" s="2">
        <f t="shared" si="5"/>
        <v>1219</v>
      </c>
    </row>
    <row r="629" ht="15.75" customHeight="1">
      <c r="A629" s="3">
        <v>45003.0</v>
      </c>
      <c r="B629" s="2" t="s">
        <v>20</v>
      </c>
      <c r="C629" s="2" t="s">
        <v>23</v>
      </c>
      <c r="D629" s="2" t="s">
        <v>13</v>
      </c>
      <c r="E629" s="2">
        <f t="shared" si="1"/>
        <v>5422</v>
      </c>
      <c r="F629" s="2">
        <f t="shared" si="2"/>
        <v>487.98</v>
      </c>
      <c r="G629" s="2">
        <f t="shared" si="3"/>
        <v>268.389</v>
      </c>
      <c r="H629" s="2">
        <f t="shared" si="4"/>
        <v>24</v>
      </c>
      <c r="I629" s="2">
        <f t="shared" si="5"/>
        <v>4892</v>
      </c>
    </row>
    <row r="630" ht="15.75" customHeight="1">
      <c r="A630" s="3">
        <v>45003.0</v>
      </c>
      <c r="B630" s="2" t="s">
        <v>26</v>
      </c>
      <c r="C630" s="2" t="s">
        <v>27</v>
      </c>
      <c r="D630" s="2" t="s">
        <v>30</v>
      </c>
      <c r="E630" s="2">
        <f t="shared" si="1"/>
        <v>11516</v>
      </c>
      <c r="F630" s="2">
        <f t="shared" si="2"/>
        <v>690.96</v>
      </c>
      <c r="G630" s="2">
        <f t="shared" si="3"/>
        <v>981.1632</v>
      </c>
      <c r="H630" s="2">
        <f t="shared" si="4"/>
        <v>104</v>
      </c>
      <c r="I630" s="2">
        <f t="shared" si="5"/>
        <v>432</v>
      </c>
    </row>
    <row r="631" ht="15.75" customHeight="1">
      <c r="A631" s="3">
        <v>45003.0</v>
      </c>
      <c r="B631" s="2" t="s">
        <v>26</v>
      </c>
      <c r="C631" s="2" t="s">
        <v>31</v>
      </c>
      <c r="D631" s="2" t="s">
        <v>22</v>
      </c>
      <c r="E631" s="2">
        <f t="shared" si="1"/>
        <v>13938</v>
      </c>
      <c r="F631" s="2">
        <f t="shared" si="2"/>
        <v>1115.04</v>
      </c>
      <c r="G631" s="2">
        <f t="shared" si="3"/>
        <v>1248.8448</v>
      </c>
      <c r="H631" s="2">
        <f t="shared" si="4"/>
        <v>178</v>
      </c>
      <c r="I631" s="2">
        <f t="shared" si="5"/>
        <v>4135</v>
      </c>
    </row>
    <row r="632" ht="15.75" customHeight="1">
      <c r="A632" s="3">
        <v>45003.0</v>
      </c>
      <c r="B632" s="2" t="s">
        <v>33</v>
      </c>
      <c r="C632" s="2" t="s">
        <v>34</v>
      </c>
      <c r="D632" s="2" t="s">
        <v>30</v>
      </c>
      <c r="E632" s="2">
        <f t="shared" si="1"/>
        <v>5939</v>
      </c>
      <c r="F632" s="2">
        <f t="shared" si="2"/>
        <v>534.51</v>
      </c>
      <c r="G632" s="2">
        <f t="shared" si="3"/>
        <v>0</v>
      </c>
      <c r="H632" s="2">
        <f t="shared" si="4"/>
        <v>59</v>
      </c>
      <c r="I632" s="2">
        <f t="shared" si="5"/>
        <v>2830</v>
      </c>
    </row>
    <row r="633" ht="15.75" customHeight="1">
      <c r="A633" s="3">
        <v>45003.0</v>
      </c>
      <c r="B633" s="2" t="s">
        <v>33</v>
      </c>
      <c r="C633" s="2" t="s">
        <v>35</v>
      </c>
      <c r="D633" s="2" t="s">
        <v>28</v>
      </c>
      <c r="E633" s="2">
        <f t="shared" si="1"/>
        <v>4411</v>
      </c>
      <c r="F633" s="2">
        <f t="shared" si="2"/>
        <v>132.33</v>
      </c>
      <c r="G633" s="2">
        <f t="shared" si="3"/>
        <v>0</v>
      </c>
      <c r="H633" s="2">
        <f t="shared" si="4"/>
        <v>20</v>
      </c>
      <c r="I633" s="2">
        <f t="shared" si="5"/>
        <v>2565</v>
      </c>
    </row>
    <row r="634" ht="15.75" customHeight="1">
      <c r="A634" s="3">
        <v>45004.0</v>
      </c>
      <c r="B634" s="2" t="s">
        <v>14</v>
      </c>
      <c r="C634" s="2" t="s">
        <v>15</v>
      </c>
      <c r="D634" s="2" t="s">
        <v>30</v>
      </c>
      <c r="E634" s="2">
        <f t="shared" si="1"/>
        <v>8090</v>
      </c>
      <c r="F634" s="2">
        <f t="shared" si="2"/>
        <v>161.8</v>
      </c>
      <c r="G634" s="2">
        <f t="shared" si="3"/>
        <v>160.182</v>
      </c>
      <c r="H634" s="2">
        <f t="shared" si="4"/>
        <v>31</v>
      </c>
      <c r="I634" s="2">
        <f t="shared" si="5"/>
        <v>2284</v>
      </c>
    </row>
    <row r="635" ht="15.75" customHeight="1">
      <c r="A635" s="3">
        <v>45004.0</v>
      </c>
      <c r="B635" s="2" t="s">
        <v>14</v>
      </c>
      <c r="C635" s="2" t="s">
        <v>17</v>
      </c>
      <c r="D635" s="2" t="s">
        <v>32</v>
      </c>
      <c r="E635" s="2">
        <f t="shared" si="1"/>
        <v>5774</v>
      </c>
      <c r="F635" s="2">
        <f t="shared" si="2"/>
        <v>404.18</v>
      </c>
      <c r="G635" s="2">
        <f t="shared" si="3"/>
        <v>658.8134</v>
      </c>
      <c r="H635" s="2">
        <f t="shared" si="4"/>
        <v>69</v>
      </c>
      <c r="I635" s="2">
        <f t="shared" si="5"/>
        <v>1836</v>
      </c>
    </row>
    <row r="636" ht="15.75" customHeight="1">
      <c r="A636" s="3">
        <v>45004.0</v>
      </c>
      <c r="B636" s="2" t="s">
        <v>20</v>
      </c>
      <c r="C636" s="2" t="s">
        <v>21</v>
      </c>
      <c r="D636" s="2" t="s">
        <v>19</v>
      </c>
      <c r="E636" s="2">
        <f t="shared" si="1"/>
        <v>5526</v>
      </c>
      <c r="F636" s="2">
        <f t="shared" si="2"/>
        <v>552.6</v>
      </c>
      <c r="G636" s="2">
        <f t="shared" si="3"/>
        <v>541.548</v>
      </c>
      <c r="H636" s="2">
        <f t="shared" si="4"/>
        <v>61</v>
      </c>
      <c r="I636" s="2">
        <f t="shared" si="5"/>
        <v>4867</v>
      </c>
    </row>
    <row r="637" ht="15.75" customHeight="1">
      <c r="A637" s="3">
        <v>45004.0</v>
      </c>
      <c r="B637" s="2" t="s">
        <v>20</v>
      </c>
      <c r="C637" s="2" t="s">
        <v>23</v>
      </c>
      <c r="D637" s="2" t="s">
        <v>16</v>
      </c>
      <c r="E637" s="2">
        <f t="shared" si="1"/>
        <v>5028</v>
      </c>
      <c r="F637" s="2">
        <f t="shared" si="2"/>
        <v>251.4</v>
      </c>
      <c r="G637" s="2">
        <f t="shared" si="3"/>
        <v>213.69</v>
      </c>
      <c r="H637" s="2">
        <f t="shared" si="4"/>
        <v>25</v>
      </c>
      <c r="I637" s="2">
        <f t="shared" si="5"/>
        <v>537</v>
      </c>
    </row>
    <row r="638" ht="15.75" customHeight="1">
      <c r="A638" s="3">
        <v>45004.0</v>
      </c>
      <c r="B638" s="2" t="s">
        <v>26</v>
      </c>
      <c r="C638" s="2" t="s">
        <v>27</v>
      </c>
      <c r="D638" s="2" t="s">
        <v>28</v>
      </c>
      <c r="E638" s="2">
        <f t="shared" si="1"/>
        <v>9727</v>
      </c>
      <c r="F638" s="2">
        <f t="shared" si="2"/>
        <v>486.35</v>
      </c>
      <c r="G638" s="2">
        <f t="shared" si="3"/>
        <v>972.7</v>
      </c>
      <c r="H638" s="2">
        <f t="shared" si="4"/>
        <v>92</v>
      </c>
      <c r="I638" s="2">
        <f t="shared" si="5"/>
        <v>2825</v>
      </c>
    </row>
    <row r="639" ht="15.75" customHeight="1">
      <c r="A639" s="3">
        <v>45004.0</v>
      </c>
      <c r="B639" s="2" t="s">
        <v>26</v>
      </c>
      <c r="C639" s="2" t="s">
        <v>31</v>
      </c>
      <c r="D639" s="2" t="s">
        <v>25</v>
      </c>
      <c r="E639" s="2">
        <f t="shared" si="1"/>
        <v>10542</v>
      </c>
      <c r="F639" s="2">
        <f t="shared" si="2"/>
        <v>1054.2</v>
      </c>
      <c r="G639" s="2">
        <f t="shared" si="3"/>
        <v>390.054</v>
      </c>
      <c r="H639" s="2">
        <f t="shared" si="4"/>
        <v>200</v>
      </c>
      <c r="I639" s="2">
        <f t="shared" si="5"/>
        <v>2140</v>
      </c>
    </row>
    <row r="640" ht="15.75" customHeight="1">
      <c r="A640" s="3">
        <v>45004.0</v>
      </c>
      <c r="B640" s="2" t="s">
        <v>33</v>
      </c>
      <c r="C640" s="2" t="s">
        <v>34</v>
      </c>
      <c r="D640" s="2" t="s">
        <v>16</v>
      </c>
      <c r="E640" s="2">
        <f t="shared" si="1"/>
        <v>5242</v>
      </c>
      <c r="F640" s="2">
        <f t="shared" si="2"/>
        <v>104.84</v>
      </c>
      <c r="G640" s="2">
        <f t="shared" si="3"/>
        <v>0</v>
      </c>
      <c r="H640" s="2">
        <f t="shared" si="4"/>
        <v>12</v>
      </c>
      <c r="I640" s="2">
        <f t="shared" si="5"/>
        <v>3735</v>
      </c>
    </row>
    <row r="641" ht="15.75" customHeight="1">
      <c r="A641" s="3">
        <v>45004.0</v>
      </c>
      <c r="B641" s="2" t="s">
        <v>33</v>
      </c>
      <c r="C641" s="2" t="s">
        <v>35</v>
      </c>
      <c r="D641" s="2" t="s">
        <v>18</v>
      </c>
      <c r="E641" s="2">
        <f t="shared" si="1"/>
        <v>2713</v>
      </c>
      <c r="F641" s="2">
        <f t="shared" si="2"/>
        <v>189.91</v>
      </c>
      <c r="G641" s="2">
        <f t="shared" si="3"/>
        <v>0</v>
      </c>
      <c r="H641" s="2">
        <f t="shared" si="4"/>
        <v>28</v>
      </c>
      <c r="I641" s="2">
        <f t="shared" si="5"/>
        <v>4412</v>
      </c>
    </row>
    <row r="642" ht="15.75" customHeight="1">
      <c r="A642" s="3">
        <v>45005.0</v>
      </c>
      <c r="B642" s="2" t="s">
        <v>14</v>
      </c>
      <c r="C642" s="2" t="s">
        <v>15</v>
      </c>
      <c r="D642" s="2" t="s">
        <v>13</v>
      </c>
      <c r="E642" s="2">
        <f t="shared" si="1"/>
        <v>7707</v>
      </c>
      <c r="F642" s="2">
        <f t="shared" si="2"/>
        <v>308.28</v>
      </c>
      <c r="G642" s="2">
        <f t="shared" si="3"/>
        <v>447.006</v>
      </c>
      <c r="H642" s="2">
        <f t="shared" si="4"/>
        <v>22</v>
      </c>
      <c r="I642" s="2">
        <f t="shared" si="5"/>
        <v>4383</v>
      </c>
    </row>
    <row r="643" ht="15.75" customHeight="1">
      <c r="A643" s="3">
        <v>45005.0</v>
      </c>
      <c r="B643" s="2" t="s">
        <v>14</v>
      </c>
      <c r="C643" s="2" t="s">
        <v>17</v>
      </c>
      <c r="D643" s="2" t="s">
        <v>22</v>
      </c>
      <c r="E643" s="2">
        <f t="shared" si="1"/>
        <v>5439</v>
      </c>
      <c r="F643" s="2">
        <f t="shared" si="2"/>
        <v>271.95</v>
      </c>
      <c r="G643" s="2">
        <f t="shared" si="3"/>
        <v>456.876</v>
      </c>
      <c r="H643" s="2">
        <f t="shared" si="4"/>
        <v>30</v>
      </c>
      <c r="I643" s="2">
        <f t="shared" si="5"/>
        <v>3409</v>
      </c>
    </row>
    <row r="644" ht="15.75" customHeight="1">
      <c r="A644" s="3">
        <v>45005.0</v>
      </c>
      <c r="B644" s="2" t="s">
        <v>20</v>
      </c>
      <c r="C644" s="2" t="s">
        <v>21</v>
      </c>
      <c r="D644" s="2" t="s">
        <v>28</v>
      </c>
      <c r="E644" s="2">
        <f t="shared" si="1"/>
        <v>2649</v>
      </c>
      <c r="F644" s="2">
        <f t="shared" si="2"/>
        <v>264.9</v>
      </c>
      <c r="G644" s="2">
        <f t="shared" si="3"/>
        <v>132.45</v>
      </c>
      <c r="H644" s="2">
        <f t="shared" si="4"/>
        <v>13</v>
      </c>
      <c r="I644" s="2">
        <f t="shared" si="5"/>
        <v>4699</v>
      </c>
    </row>
    <row r="645" ht="15.75" customHeight="1">
      <c r="A645" s="3">
        <v>45005.0</v>
      </c>
      <c r="B645" s="2" t="s">
        <v>20</v>
      </c>
      <c r="C645" s="2" t="s">
        <v>23</v>
      </c>
      <c r="D645" s="2" t="s">
        <v>28</v>
      </c>
      <c r="E645" s="2">
        <f t="shared" si="1"/>
        <v>5123</v>
      </c>
      <c r="F645" s="2">
        <f t="shared" si="2"/>
        <v>102.46</v>
      </c>
      <c r="G645" s="2">
        <f t="shared" si="3"/>
        <v>119.8782</v>
      </c>
      <c r="H645" s="2">
        <f t="shared" si="4"/>
        <v>15</v>
      </c>
      <c r="I645" s="2">
        <f t="shared" si="5"/>
        <v>1502</v>
      </c>
    </row>
    <row r="646" ht="15.75" customHeight="1">
      <c r="A646" s="3">
        <v>45005.0</v>
      </c>
      <c r="B646" s="2" t="s">
        <v>26</v>
      </c>
      <c r="C646" s="2" t="s">
        <v>27</v>
      </c>
      <c r="D646" s="2" t="s">
        <v>32</v>
      </c>
      <c r="E646" s="2">
        <f t="shared" si="1"/>
        <v>13787</v>
      </c>
      <c r="F646" s="2">
        <f t="shared" si="2"/>
        <v>275.74</v>
      </c>
      <c r="G646" s="2">
        <f t="shared" si="3"/>
        <v>319.8584</v>
      </c>
      <c r="H646" s="2">
        <f t="shared" si="4"/>
        <v>30</v>
      </c>
      <c r="I646" s="2">
        <f t="shared" si="5"/>
        <v>2647</v>
      </c>
    </row>
    <row r="647" ht="15.75" customHeight="1">
      <c r="A647" s="3">
        <v>45005.0</v>
      </c>
      <c r="B647" s="2" t="s">
        <v>26</v>
      </c>
      <c r="C647" s="2" t="s">
        <v>31</v>
      </c>
      <c r="D647" s="2" t="s">
        <v>28</v>
      </c>
      <c r="E647" s="2">
        <f t="shared" si="1"/>
        <v>12157</v>
      </c>
      <c r="F647" s="2">
        <f t="shared" si="2"/>
        <v>243.14</v>
      </c>
      <c r="G647" s="2">
        <f t="shared" si="3"/>
        <v>201.8062</v>
      </c>
      <c r="H647" s="2">
        <f t="shared" si="4"/>
        <v>15</v>
      </c>
      <c r="I647" s="2">
        <f t="shared" si="5"/>
        <v>620</v>
      </c>
    </row>
    <row r="648" ht="15.75" customHeight="1">
      <c r="A648" s="3">
        <v>45005.0</v>
      </c>
      <c r="B648" s="2" t="s">
        <v>33</v>
      </c>
      <c r="C648" s="2" t="s">
        <v>34</v>
      </c>
      <c r="D648" s="2" t="s">
        <v>32</v>
      </c>
      <c r="E648" s="2">
        <f t="shared" si="1"/>
        <v>3616</v>
      </c>
      <c r="F648" s="2">
        <f t="shared" si="2"/>
        <v>108.48</v>
      </c>
      <c r="G648" s="2">
        <f t="shared" si="3"/>
        <v>0</v>
      </c>
      <c r="H648" s="2">
        <f t="shared" si="4"/>
        <v>13</v>
      </c>
      <c r="I648" s="2">
        <f t="shared" si="5"/>
        <v>2754</v>
      </c>
    </row>
    <row r="649" ht="15.75" customHeight="1">
      <c r="A649" s="3">
        <v>45005.0</v>
      </c>
      <c r="B649" s="2" t="s">
        <v>33</v>
      </c>
      <c r="C649" s="2" t="s">
        <v>35</v>
      </c>
      <c r="D649" s="2" t="s">
        <v>30</v>
      </c>
      <c r="E649" s="2">
        <f t="shared" si="1"/>
        <v>5947</v>
      </c>
      <c r="F649" s="2">
        <f t="shared" si="2"/>
        <v>475.76</v>
      </c>
      <c r="G649" s="2">
        <f t="shared" si="3"/>
        <v>0</v>
      </c>
      <c r="H649" s="2">
        <f t="shared" si="4"/>
        <v>24</v>
      </c>
      <c r="I649" s="2">
        <f t="shared" si="5"/>
        <v>3741</v>
      </c>
    </row>
    <row r="650" ht="15.75" customHeight="1">
      <c r="A650" s="3">
        <v>45006.0</v>
      </c>
      <c r="B650" s="2" t="s">
        <v>14</v>
      </c>
      <c r="C650" s="2" t="s">
        <v>15</v>
      </c>
      <c r="D650" s="2" t="s">
        <v>25</v>
      </c>
      <c r="E650" s="2">
        <f t="shared" si="1"/>
        <v>6022</v>
      </c>
      <c r="F650" s="2">
        <f t="shared" si="2"/>
        <v>240.88</v>
      </c>
      <c r="G650" s="2">
        <f t="shared" si="3"/>
        <v>414.3136</v>
      </c>
      <c r="H650" s="2">
        <f t="shared" si="4"/>
        <v>24</v>
      </c>
      <c r="I650" s="2">
        <f t="shared" si="5"/>
        <v>1272</v>
      </c>
    </row>
    <row r="651" ht="15.75" customHeight="1">
      <c r="A651" s="3">
        <v>45006.0</v>
      </c>
      <c r="B651" s="2" t="s">
        <v>14</v>
      </c>
      <c r="C651" s="2" t="s">
        <v>17</v>
      </c>
      <c r="D651" s="2" t="s">
        <v>22</v>
      </c>
      <c r="E651" s="2">
        <f t="shared" si="1"/>
        <v>8394</v>
      </c>
      <c r="F651" s="2">
        <f t="shared" si="2"/>
        <v>251.82</v>
      </c>
      <c r="G651" s="2">
        <f t="shared" si="3"/>
        <v>480.9762</v>
      </c>
      <c r="H651" s="2">
        <f t="shared" si="4"/>
        <v>38</v>
      </c>
      <c r="I651" s="2">
        <f t="shared" si="5"/>
        <v>529</v>
      </c>
    </row>
    <row r="652" ht="15.75" customHeight="1">
      <c r="A652" s="3">
        <v>45006.0</v>
      </c>
      <c r="B652" s="2" t="s">
        <v>20</v>
      </c>
      <c r="C652" s="2" t="s">
        <v>21</v>
      </c>
      <c r="D652" s="2" t="s">
        <v>24</v>
      </c>
      <c r="E652" s="2">
        <f t="shared" si="1"/>
        <v>5957</v>
      </c>
      <c r="F652" s="2">
        <f t="shared" si="2"/>
        <v>357.42</v>
      </c>
      <c r="G652" s="2">
        <f t="shared" si="3"/>
        <v>675.5238</v>
      </c>
      <c r="H652" s="2">
        <f t="shared" si="4"/>
        <v>64</v>
      </c>
      <c r="I652" s="2">
        <f t="shared" si="5"/>
        <v>3322</v>
      </c>
    </row>
    <row r="653" ht="15.75" customHeight="1">
      <c r="A653" s="3">
        <v>45006.0</v>
      </c>
      <c r="B653" s="2" t="s">
        <v>20</v>
      </c>
      <c r="C653" s="2" t="s">
        <v>23</v>
      </c>
      <c r="D653" s="2" t="s">
        <v>18</v>
      </c>
      <c r="E653" s="2">
        <f t="shared" si="1"/>
        <v>2463</v>
      </c>
      <c r="F653" s="2">
        <f t="shared" si="2"/>
        <v>49.26</v>
      </c>
      <c r="G653" s="2">
        <f t="shared" si="3"/>
        <v>47.7822</v>
      </c>
      <c r="H653" s="2">
        <f t="shared" si="4"/>
        <v>2</v>
      </c>
      <c r="I653" s="2">
        <f t="shared" si="5"/>
        <v>148</v>
      </c>
    </row>
    <row r="654" ht="15.75" customHeight="1">
      <c r="A654" s="3">
        <v>45006.0</v>
      </c>
      <c r="B654" s="2" t="s">
        <v>26</v>
      </c>
      <c r="C654" s="2" t="s">
        <v>27</v>
      </c>
      <c r="D654" s="2" t="s">
        <v>13</v>
      </c>
      <c r="E654" s="2">
        <f t="shared" si="1"/>
        <v>9682</v>
      </c>
      <c r="F654" s="2">
        <f t="shared" si="2"/>
        <v>193.64</v>
      </c>
      <c r="G654" s="2">
        <f t="shared" si="3"/>
        <v>141.3572</v>
      </c>
      <c r="H654" s="2">
        <f t="shared" si="4"/>
        <v>12</v>
      </c>
      <c r="I654" s="2">
        <f t="shared" si="5"/>
        <v>2431</v>
      </c>
    </row>
    <row r="655" ht="15.75" customHeight="1">
      <c r="A655" s="3">
        <v>45006.0</v>
      </c>
      <c r="B655" s="2" t="s">
        <v>26</v>
      </c>
      <c r="C655" s="2" t="s">
        <v>31</v>
      </c>
      <c r="D655" s="2" t="s">
        <v>13</v>
      </c>
      <c r="E655" s="2">
        <f t="shared" si="1"/>
        <v>8033</v>
      </c>
      <c r="F655" s="2">
        <f t="shared" si="2"/>
        <v>562.31</v>
      </c>
      <c r="G655" s="2">
        <f t="shared" si="3"/>
        <v>1045.8966</v>
      </c>
      <c r="H655" s="2">
        <f t="shared" si="4"/>
        <v>67</v>
      </c>
      <c r="I655" s="2">
        <f t="shared" si="5"/>
        <v>1762</v>
      </c>
    </row>
    <row r="656" ht="15.75" customHeight="1">
      <c r="A656" s="3">
        <v>45006.0</v>
      </c>
      <c r="B656" s="2" t="s">
        <v>33</v>
      </c>
      <c r="C656" s="2" t="s">
        <v>34</v>
      </c>
      <c r="D656" s="2" t="s">
        <v>22</v>
      </c>
      <c r="E656" s="2">
        <f t="shared" si="1"/>
        <v>4053</v>
      </c>
      <c r="F656" s="2">
        <f t="shared" si="2"/>
        <v>324.24</v>
      </c>
      <c r="G656" s="2">
        <f t="shared" si="3"/>
        <v>0</v>
      </c>
      <c r="H656" s="2">
        <f t="shared" si="4"/>
        <v>58</v>
      </c>
      <c r="I656" s="2">
        <f t="shared" si="5"/>
        <v>2225</v>
      </c>
    </row>
    <row r="657" ht="15.75" customHeight="1">
      <c r="A657" s="3">
        <v>45006.0</v>
      </c>
      <c r="B657" s="2" t="s">
        <v>33</v>
      </c>
      <c r="C657" s="2" t="s">
        <v>35</v>
      </c>
      <c r="D657" s="2" t="s">
        <v>22</v>
      </c>
      <c r="E657" s="2">
        <f t="shared" si="1"/>
        <v>2926</v>
      </c>
      <c r="F657" s="2">
        <f t="shared" si="2"/>
        <v>58.52</v>
      </c>
      <c r="G657" s="2">
        <f t="shared" si="3"/>
        <v>0</v>
      </c>
      <c r="H657" s="2">
        <f t="shared" si="4"/>
        <v>11</v>
      </c>
      <c r="I657" s="2">
        <f t="shared" si="5"/>
        <v>3588</v>
      </c>
    </row>
    <row r="658" ht="15.75" customHeight="1">
      <c r="A658" s="3">
        <v>45007.0</v>
      </c>
      <c r="B658" s="2" t="s">
        <v>14</v>
      </c>
      <c r="C658" s="2" t="s">
        <v>15</v>
      </c>
      <c r="D658" s="2" t="s">
        <v>30</v>
      </c>
      <c r="E658" s="2">
        <f t="shared" si="1"/>
        <v>6627</v>
      </c>
      <c r="F658" s="2">
        <f t="shared" si="2"/>
        <v>265.08</v>
      </c>
      <c r="G658" s="2">
        <f t="shared" si="3"/>
        <v>416.1756</v>
      </c>
      <c r="H658" s="2">
        <f t="shared" si="4"/>
        <v>24</v>
      </c>
      <c r="I658" s="2">
        <f t="shared" si="5"/>
        <v>2204</v>
      </c>
    </row>
    <row r="659" ht="15.75" customHeight="1">
      <c r="A659" s="3">
        <v>45007.0</v>
      </c>
      <c r="B659" s="2" t="s">
        <v>14</v>
      </c>
      <c r="C659" s="2" t="s">
        <v>17</v>
      </c>
      <c r="D659" s="2" t="s">
        <v>25</v>
      </c>
      <c r="E659" s="2">
        <f t="shared" si="1"/>
        <v>6431</v>
      </c>
      <c r="F659" s="2">
        <f t="shared" si="2"/>
        <v>257.24</v>
      </c>
      <c r="G659" s="2">
        <f t="shared" si="3"/>
        <v>138.9096</v>
      </c>
      <c r="H659" s="2">
        <f t="shared" si="4"/>
        <v>49</v>
      </c>
      <c r="I659" s="2">
        <f t="shared" si="5"/>
        <v>2876</v>
      </c>
    </row>
    <row r="660" ht="15.75" customHeight="1">
      <c r="A660" s="3">
        <v>45007.0</v>
      </c>
      <c r="B660" s="2" t="s">
        <v>20</v>
      </c>
      <c r="C660" s="2" t="s">
        <v>21</v>
      </c>
      <c r="D660" s="2" t="s">
        <v>25</v>
      </c>
      <c r="E660" s="2">
        <f t="shared" si="1"/>
        <v>4998</v>
      </c>
      <c r="F660" s="2">
        <f t="shared" si="2"/>
        <v>199.92</v>
      </c>
      <c r="G660" s="2">
        <f t="shared" si="3"/>
        <v>261.8952</v>
      </c>
      <c r="H660" s="2">
        <f t="shared" si="4"/>
        <v>38</v>
      </c>
      <c r="I660" s="2">
        <f t="shared" si="5"/>
        <v>528</v>
      </c>
    </row>
    <row r="661" ht="15.75" customHeight="1">
      <c r="A661" s="3">
        <v>45007.0</v>
      </c>
      <c r="B661" s="2" t="s">
        <v>20</v>
      </c>
      <c r="C661" s="2" t="s">
        <v>23</v>
      </c>
      <c r="D661" s="2" t="s">
        <v>22</v>
      </c>
      <c r="E661" s="2">
        <f t="shared" si="1"/>
        <v>4540</v>
      </c>
      <c r="F661" s="2">
        <f t="shared" si="2"/>
        <v>454</v>
      </c>
      <c r="G661" s="2">
        <f t="shared" si="3"/>
        <v>771.8</v>
      </c>
      <c r="H661" s="2">
        <f t="shared" si="4"/>
        <v>77</v>
      </c>
      <c r="I661" s="2">
        <f t="shared" si="5"/>
        <v>3320</v>
      </c>
    </row>
    <row r="662" ht="15.75" customHeight="1">
      <c r="A662" s="3">
        <v>45007.0</v>
      </c>
      <c r="B662" s="2" t="s">
        <v>26</v>
      </c>
      <c r="C662" s="2" t="s">
        <v>27</v>
      </c>
      <c r="D662" s="2" t="s">
        <v>24</v>
      </c>
      <c r="E662" s="2">
        <f t="shared" si="1"/>
        <v>10947</v>
      </c>
      <c r="F662" s="2">
        <f t="shared" si="2"/>
        <v>218.94</v>
      </c>
      <c r="G662" s="2">
        <f t="shared" si="3"/>
        <v>155.4474</v>
      </c>
      <c r="H662" s="2">
        <f t="shared" si="4"/>
        <v>42</v>
      </c>
      <c r="I662" s="2">
        <f t="shared" si="5"/>
        <v>1963</v>
      </c>
    </row>
    <row r="663" ht="15.75" customHeight="1">
      <c r="A663" s="3">
        <v>45007.0</v>
      </c>
      <c r="B663" s="2" t="s">
        <v>26</v>
      </c>
      <c r="C663" s="2" t="s">
        <v>31</v>
      </c>
      <c r="D663" s="2" t="s">
        <v>19</v>
      </c>
      <c r="E663" s="2">
        <f t="shared" si="1"/>
        <v>8383</v>
      </c>
      <c r="F663" s="2">
        <f t="shared" si="2"/>
        <v>838.3</v>
      </c>
      <c r="G663" s="2">
        <f t="shared" si="3"/>
        <v>1626.302</v>
      </c>
      <c r="H663" s="2">
        <f t="shared" si="4"/>
        <v>42</v>
      </c>
      <c r="I663" s="2">
        <f t="shared" si="5"/>
        <v>3311</v>
      </c>
    </row>
    <row r="664" ht="15.75" customHeight="1">
      <c r="A664" s="3">
        <v>45007.0</v>
      </c>
      <c r="B664" s="2" t="s">
        <v>33</v>
      </c>
      <c r="C664" s="2" t="s">
        <v>34</v>
      </c>
      <c r="D664" s="2" t="s">
        <v>18</v>
      </c>
      <c r="E664" s="2">
        <f t="shared" si="1"/>
        <v>4201</v>
      </c>
      <c r="F664" s="2">
        <f t="shared" si="2"/>
        <v>84.02</v>
      </c>
      <c r="G664" s="2">
        <f t="shared" si="3"/>
        <v>0</v>
      </c>
      <c r="H664" s="2">
        <f t="shared" si="4"/>
        <v>15</v>
      </c>
      <c r="I664" s="2">
        <f t="shared" si="5"/>
        <v>3122</v>
      </c>
    </row>
    <row r="665" ht="15.75" customHeight="1">
      <c r="A665" s="3">
        <v>45007.0</v>
      </c>
      <c r="B665" s="2" t="s">
        <v>33</v>
      </c>
      <c r="C665" s="2" t="s">
        <v>35</v>
      </c>
      <c r="D665" s="2" t="s">
        <v>30</v>
      </c>
      <c r="E665" s="2">
        <f t="shared" si="1"/>
        <v>5571</v>
      </c>
      <c r="F665" s="2">
        <f t="shared" si="2"/>
        <v>501.39</v>
      </c>
      <c r="G665" s="2">
        <f t="shared" si="3"/>
        <v>0</v>
      </c>
      <c r="H665" s="2">
        <f t="shared" si="4"/>
        <v>95</v>
      </c>
      <c r="I665" s="2">
        <f t="shared" si="5"/>
        <v>4199</v>
      </c>
    </row>
    <row r="666" ht="15.75" customHeight="1">
      <c r="A666" s="3">
        <v>45008.0</v>
      </c>
      <c r="B666" s="2" t="s">
        <v>14</v>
      </c>
      <c r="C666" s="2" t="s">
        <v>15</v>
      </c>
      <c r="D666" s="2" t="s">
        <v>24</v>
      </c>
      <c r="E666" s="2">
        <f t="shared" si="1"/>
        <v>5191</v>
      </c>
      <c r="F666" s="2">
        <f t="shared" si="2"/>
        <v>155.73</v>
      </c>
      <c r="G666" s="2">
        <f t="shared" si="3"/>
        <v>311.46</v>
      </c>
      <c r="H666" s="2">
        <f t="shared" si="4"/>
        <v>25</v>
      </c>
      <c r="I666" s="2">
        <f t="shared" si="5"/>
        <v>3534</v>
      </c>
    </row>
    <row r="667" ht="15.75" customHeight="1">
      <c r="A667" s="3">
        <v>45008.0</v>
      </c>
      <c r="B667" s="2" t="s">
        <v>14</v>
      </c>
      <c r="C667" s="2" t="s">
        <v>17</v>
      </c>
      <c r="D667" s="2" t="s">
        <v>13</v>
      </c>
      <c r="E667" s="2">
        <f t="shared" si="1"/>
        <v>10980</v>
      </c>
      <c r="F667" s="2">
        <f t="shared" si="2"/>
        <v>878.4</v>
      </c>
      <c r="G667" s="2">
        <f t="shared" si="3"/>
        <v>553.392</v>
      </c>
      <c r="H667" s="2">
        <f t="shared" si="4"/>
        <v>105</v>
      </c>
      <c r="I667" s="2">
        <f t="shared" si="5"/>
        <v>1376</v>
      </c>
    </row>
    <row r="668" ht="15.75" customHeight="1">
      <c r="A668" s="3">
        <v>45008.0</v>
      </c>
      <c r="B668" s="2" t="s">
        <v>20</v>
      </c>
      <c r="C668" s="2" t="s">
        <v>21</v>
      </c>
      <c r="D668" s="2" t="s">
        <v>19</v>
      </c>
      <c r="E668" s="2">
        <f t="shared" si="1"/>
        <v>4880</v>
      </c>
      <c r="F668" s="2">
        <f t="shared" si="2"/>
        <v>488</v>
      </c>
      <c r="G668" s="2">
        <f t="shared" si="3"/>
        <v>434.32</v>
      </c>
      <c r="H668" s="2">
        <f t="shared" si="4"/>
        <v>78</v>
      </c>
      <c r="I668" s="2">
        <f t="shared" si="5"/>
        <v>978</v>
      </c>
    </row>
    <row r="669" ht="15.75" customHeight="1">
      <c r="A669" s="3">
        <v>45008.0</v>
      </c>
      <c r="B669" s="2" t="s">
        <v>20</v>
      </c>
      <c r="C669" s="2" t="s">
        <v>23</v>
      </c>
      <c r="D669" s="2" t="s">
        <v>16</v>
      </c>
      <c r="E669" s="2">
        <f t="shared" si="1"/>
        <v>2059</v>
      </c>
      <c r="F669" s="2">
        <f t="shared" si="2"/>
        <v>144.13</v>
      </c>
      <c r="G669" s="2">
        <f t="shared" si="3"/>
        <v>243.5797</v>
      </c>
      <c r="H669" s="2">
        <f t="shared" si="4"/>
        <v>20</v>
      </c>
      <c r="I669" s="2">
        <f t="shared" si="5"/>
        <v>4530</v>
      </c>
    </row>
    <row r="670" ht="15.75" customHeight="1">
      <c r="A670" s="3">
        <v>45008.0</v>
      </c>
      <c r="B670" s="2" t="s">
        <v>26</v>
      </c>
      <c r="C670" s="2" t="s">
        <v>27</v>
      </c>
      <c r="D670" s="2" t="s">
        <v>13</v>
      </c>
      <c r="E670" s="2">
        <f t="shared" si="1"/>
        <v>11383</v>
      </c>
      <c r="F670" s="2">
        <f t="shared" si="2"/>
        <v>569.15</v>
      </c>
      <c r="G670" s="2">
        <f t="shared" si="3"/>
        <v>1052.9275</v>
      </c>
      <c r="H670" s="2">
        <f t="shared" si="4"/>
        <v>80</v>
      </c>
      <c r="I670" s="2">
        <f t="shared" si="5"/>
        <v>4650</v>
      </c>
    </row>
    <row r="671" ht="15.75" customHeight="1">
      <c r="A671" s="3">
        <v>45008.0</v>
      </c>
      <c r="B671" s="2" t="s">
        <v>26</v>
      </c>
      <c r="C671" s="2" t="s">
        <v>31</v>
      </c>
      <c r="D671" s="2" t="s">
        <v>32</v>
      </c>
      <c r="E671" s="2">
        <f t="shared" si="1"/>
        <v>13999</v>
      </c>
      <c r="F671" s="2">
        <f t="shared" si="2"/>
        <v>1119.92</v>
      </c>
      <c r="G671" s="2">
        <f t="shared" si="3"/>
        <v>1881.4656</v>
      </c>
      <c r="H671" s="2">
        <f t="shared" si="4"/>
        <v>146</v>
      </c>
      <c r="I671" s="2">
        <f t="shared" si="5"/>
        <v>3443</v>
      </c>
    </row>
    <row r="672" ht="15.75" customHeight="1">
      <c r="A672" s="3">
        <v>45008.0</v>
      </c>
      <c r="B672" s="2" t="s">
        <v>33</v>
      </c>
      <c r="C672" s="2" t="s">
        <v>34</v>
      </c>
      <c r="D672" s="2" t="s">
        <v>22</v>
      </c>
      <c r="E672" s="2">
        <f t="shared" si="1"/>
        <v>5514</v>
      </c>
      <c r="F672" s="2">
        <f t="shared" si="2"/>
        <v>441.12</v>
      </c>
      <c r="G672" s="2">
        <f t="shared" si="3"/>
        <v>0</v>
      </c>
      <c r="H672" s="2">
        <f t="shared" si="4"/>
        <v>26</v>
      </c>
      <c r="I672" s="2">
        <f t="shared" si="5"/>
        <v>4205</v>
      </c>
    </row>
    <row r="673" ht="15.75" customHeight="1">
      <c r="A673" s="3">
        <v>45008.0</v>
      </c>
      <c r="B673" s="2" t="s">
        <v>33</v>
      </c>
      <c r="C673" s="2" t="s">
        <v>35</v>
      </c>
      <c r="D673" s="2" t="s">
        <v>32</v>
      </c>
      <c r="E673" s="2">
        <f t="shared" si="1"/>
        <v>2607</v>
      </c>
      <c r="F673" s="2">
        <f t="shared" si="2"/>
        <v>104.28</v>
      </c>
      <c r="G673" s="2">
        <f t="shared" si="3"/>
        <v>0</v>
      </c>
      <c r="H673" s="2">
        <f t="shared" si="4"/>
        <v>8</v>
      </c>
      <c r="I673" s="2">
        <f t="shared" si="5"/>
        <v>1938</v>
      </c>
    </row>
    <row r="674" ht="15.75" customHeight="1">
      <c r="A674" s="3">
        <v>45009.0</v>
      </c>
      <c r="B674" s="2" t="s">
        <v>14</v>
      </c>
      <c r="C674" s="2" t="s">
        <v>15</v>
      </c>
      <c r="D674" s="2" t="s">
        <v>19</v>
      </c>
      <c r="E674" s="2">
        <f t="shared" si="1"/>
        <v>8524</v>
      </c>
      <c r="F674" s="2">
        <f t="shared" si="2"/>
        <v>681.92</v>
      </c>
      <c r="G674" s="2">
        <f t="shared" si="3"/>
        <v>709.1968</v>
      </c>
      <c r="H674" s="2">
        <f t="shared" si="4"/>
        <v>34</v>
      </c>
      <c r="I674" s="2">
        <f t="shared" si="5"/>
        <v>4938</v>
      </c>
    </row>
    <row r="675" ht="15.75" customHeight="1">
      <c r="A675" s="3">
        <v>45009.0</v>
      </c>
      <c r="B675" s="2" t="s">
        <v>14</v>
      </c>
      <c r="C675" s="2" t="s">
        <v>17</v>
      </c>
      <c r="D675" s="2" t="s">
        <v>30</v>
      </c>
      <c r="E675" s="2">
        <f t="shared" si="1"/>
        <v>5435</v>
      </c>
      <c r="F675" s="2">
        <f t="shared" si="2"/>
        <v>543.5</v>
      </c>
      <c r="G675" s="2">
        <f t="shared" si="3"/>
        <v>326.1</v>
      </c>
      <c r="H675" s="2">
        <f t="shared" si="4"/>
        <v>109</v>
      </c>
      <c r="I675" s="2">
        <f t="shared" si="5"/>
        <v>4948</v>
      </c>
    </row>
    <row r="676" ht="15.75" customHeight="1">
      <c r="A676" s="3">
        <v>45009.0</v>
      </c>
      <c r="B676" s="2" t="s">
        <v>20</v>
      </c>
      <c r="C676" s="2" t="s">
        <v>21</v>
      </c>
      <c r="D676" s="2" t="s">
        <v>19</v>
      </c>
      <c r="E676" s="2">
        <f t="shared" si="1"/>
        <v>2063</v>
      </c>
      <c r="F676" s="2">
        <f t="shared" si="2"/>
        <v>103.15</v>
      </c>
      <c r="G676" s="2">
        <f t="shared" si="3"/>
        <v>154.725</v>
      </c>
      <c r="H676" s="2">
        <f t="shared" si="4"/>
        <v>21</v>
      </c>
      <c r="I676" s="2">
        <f t="shared" si="5"/>
        <v>1788</v>
      </c>
    </row>
    <row r="677" ht="15.75" customHeight="1">
      <c r="A677" s="3">
        <v>45009.0</v>
      </c>
      <c r="B677" s="2" t="s">
        <v>20</v>
      </c>
      <c r="C677" s="2" t="s">
        <v>23</v>
      </c>
      <c r="D677" s="2" t="s">
        <v>18</v>
      </c>
      <c r="E677" s="2">
        <f t="shared" si="1"/>
        <v>5896</v>
      </c>
      <c r="F677" s="2">
        <f t="shared" si="2"/>
        <v>412.72</v>
      </c>
      <c r="G677" s="2">
        <f t="shared" si="3"/>
        <v>293.0312</v>
      </c>
      <c r="H677" s="2">
        <f t="shared" si="4"/>
        <v>70</v>
      </c>
      <c r="I677" s="2">
        <f t="shared" si="5"/>
        <v>3707</v>
      </c>
    </row>
    <row r="678" ht="15.75" customHeight="1">
      <c r="A678" s="3">
        <v>45009.0</v>
      </c>
      <c r="B678" s="2" t="s">
        <v>26</v>
      </c>
      <c r="C678" s="2" t="s">
        <v>27</v>
      </c>
      <c r="D678" s="2" t="s">
        <v>30</v>
      </c>
      <c r="E678" s="2">
        <f t="shared" si="1"/>
        <v>14512</v>
      </c>
      <c r="F678" s="2">
        <f t="shared" si="2"/>
        <v>1451.2</v>
      </c>
      <c r="G678" s="2">
        <f t="shared" si="3"/>
        <v>1131.936</v>
      </c>
      <c r="H678" s="2">
        <f t="shared" si="4"/>
        <v>87</v>
      </c>
      <c r="I678" s="2">
        <f t="shared" si="5"/>
        <v>808</v>
      </c>
    </row>
    <row r="679" ht="15.75" customHeight="1">
      <c r="A679" s="3">
        <v>45009.0</v>
      </c>
      <c r="B679" s="2" t="s">
        <v>26</v>
      </c>
      <c r="C679" s="2" t="s">
        <v>31</v>
      </c>
      <c r="D679" s="2" t="s">
        <v>18</v>
      </c>
      <c r="E679" s="2">
        <f t="shared" si="1"/>
        <v>14291</v>
      </c>
      <c r="F679" s="2">
        <f t="shared" si="2"/>
        <v>1429.1</v>
      </c>
      <c r="G679" s="2">
        <f t="shared" si="3"/>
        <v>2543.798</v>
      </c>
      <c r="H679" s="2">
        <f t="shared" si="4"/>
        <v>143</v>
      </c>
      <c r="I679" s="2">
        <f t="shared" si="5"/>
        <v>2305</v>
      </c>
    </row>
    <row r="680" ht="15.75" customHeight="1">
      <c r="A680" s="3">
        <v>45009.0</v>
      </c>
      <c r="B680" s="2" t="s">
        <v>33</v>
      </c>
      <c r="C680" s="2" t="s">
        <v>34</v>
      </c>
      <c r="D680" s="2" t="s">
        <v>13</v>
      </c>
      <c r="E680" s="2">
        <f t="shared" si="1"/>
        <v>5672</v>
      </c>
      <c r="F680" s="2">
        <f t="shared" si="2"/>
        <v>226.88</v>
      </c>
      <c r="G680" s="2">
        <f t="shared" si="3"/>
        <v>0</v>
      </c>
      <c r="H680" s="2">
        <f t="shared" si="4"/>
        <v>23</v>
      </c>
      <c r="I680" s="2">
        <f t="shared" si="5"/>
        <v>4587</v>
      </c>
    </row>
    <row r="681" ht="15.75" customHeight="1">
      <c r="A681" s="3">
        <v>45009.0</v>
      </c>
      <c r="B681" s="2" t="s">
        <v>33</v>
      </c>
      <c r="C681" s="2" t="s">
        <v>35</v>
      </c>
      <c r="D681" s="2" t="s">
        <v>16</v>
      </c>
      <c r="E681" s="2">
        <f t="shared" si="1"/>
        <v>4882</v>
      </c>
      <c r="F681" s="2">
        <f t="shared" si="2"/>
        <v>97.64</v>
      </c>
      <c r="G681" s="2">
        <f t="shared" si="3"/>
        <v>0</v>
      </c>
      <c r="H681" s="2">
        <f t="shared" si="4"/>
        <v>14</v>
      </c>
      <c r="I681" s="2">
        <f t="shared" si="5"/>
        <v>851</v>
      </c>
    </row>
    <row r="682" ht="15.75" customHeight="1">
      <c r="A682" s="3">
        <v>45010.0</v>
      </c>
      <c r="B682" s="2" t="s">
        <v>14</v>
      </c>
      <c r="C682" s="2" t="s">
        <v>15</v>
      </c>
      <c r="D682" s="2" t="s">
        <v>30</v>
      </c>
      <c r="E682" s="2">
        <f t="shared" si="1"/>
        <v>6801</v>
      </c>
      <c r="F682" s="2">
        <f t="shared" si="2"/>
        <v>408.06</v>
      </c>
      <c r="G682" s="2">
        <f t="shared" si="3"/>
        <v>697.7826</v>
      </c>
      <c r="H682" s="2">
        <f t="shared" si="4"/>
        <v>20</v>
      </c>
      <c r="I682" s="2">
        <f t="shared" si="5"/>
        <v>2935</v>
      </c>
    </row>
    <row r="683" ht="15.75" customHeight="1">
      <c r="A683" s="3">
        <v>45010.0</v>
      </c>
      <c r="B683" s="2" t="s">
        <v>14</v>
      </c>
      <c r="C683" s="2" t="s">
        <v>17</v>
      </c>
      <c r="D683" s="2" t="s">
        <v>32</v>
      </c>
      <c r="E683" s="2">
        <f t="shared" si="1"/>
        <v>10761</v>
      </c>
      <c r="F683" s="2">
        <f t="shared" si="2"/>
        <v>860.88</v>
      </c>
      <c r="G683" s="2">
        <f t="shared" si="3"/>
        <v>955.5768</v>
      </c>
      <c r="H683" s="2">
        <f t="shared" si="4"/>
        <v>69</v>
      </c>
      <c r="I683" s="2">
        <f t="shared" si="5"/>
        <v>2410</v>
      </c>
    </row>
    <row r="684" ht="15.75" customHeight="1">
      <c r="A684" s="3">
        <v>45010.0</v>
      </c>
      <c r="B684" s="2" t="s">
        <v>20</v>
      </c>
      <c r="C684" s="2" t="s">
        <v>21</v>
      </c>
      <c r="D684" s="2" t="s">
        <v>32</v>
      </c>
      <c r="E684" s="2">
        <f t="shared" si="1"/>
        <v>5519</v>
      </c>
      <c r="F684" s="2">
        <f t="shared" si="2"/>
        <v>496.71</v>
      </c>
      <c r="G684" s="2">
        <f t="shared" si="3"/>
        <v>258.2892</v>
      </c>
      <c r="H684" s="2">
        <f t="shared" si="4"/>
        <v>35</v>
      </c>
      <c r="I684" s="2">
        <f t="shared" si="5"/>
        <v>2470</v>
      </c>
    </row>
    <row r="685" ht="15.75" customHeight="1">
      <c r="A685" s="3">
        <v>45010.0</v>
      </c>
      <c r="B685" s="2" t="s">
        <v>20</v>
      </c>
      <c r="C685" s="2" t="s">
        <v>23</v>
      </c>
      <c r="D685" s="2" t="s">
        <v>16</v>
      </c>
      <c r="E685" s="2">
        <f t="shared" si="1"/>
        <v>5001</v>
      </c>
      <c r="F685" s="2">
        <f t="shared" si="2"/>
        <v>400.08</v>
      </c>
      <c r="G685" s="2">
        <f t="shared" si="3"/>
        <v>380.076</v>
      </c>
      <c r="H685" s="2">
        <f t="shared" si="4"/>
        <v>24</v>
      </c>
      <c r="I685" s="2">
        <f t="shared" si="5"/>
        <v>2536</v>
      </c>
    </row>
    <row r="686" ht="15.75" customHeight="1">
      <c r="A686" s="3">
        <v>45010.0</v>
      </c>
      <c r="B686" s="2" t="s">
        <v>26</v>
      </c>
      <c r="C686" s="2" t="s">
        <v>27</v>
      </c>
      <c r="D686" s="2" t="s">
        <v>22</v>
      </c>
      <c r="E686" s="2">
        <f t="shared" si="1"/>
        <v>10493</v>
      </c>
      <c r="F686" s="2">
        <f t="shared" si="2"/>
        <v>419.72</v>
      </c>
      <c r="G686" s="2">
        <f t="shared" si="3"/>
        <v>339.9732</v>
      </c>
      <c r="H686" s="2">
        <f t="shared" si="4"/>
        <v>84</v>
      </c>
      <c r="I686" s="2">
        <f t="shared" si="5"/>
        <v>2487</v>
      </c>
    </row>
    <row r="687" ht="15.75" customHeight="1">
      <c r="A687" s="3">
        <v>45010.0</v>
      </c>
      <c r="B687" s="2" t="s">
        <v>26</v>
      </c>
      <c r="C687" s="2" t="s">
        <v>31</v>
      </c>
      <c r="D687" s="2" t="s">
        <v>22</v>
      </c>
      <c r="E687" s="2">
        <f t="shared" si="1"/>
        <v>8099</v>
      </c>
      <c r="F687" s="2">
        <f t="shared" si="2"/>
        <v>566.93</v>
      </c>
      <c r="G687" s="2">
        <f t="shared" si="3"/>
        <v>425.1975</v>
      </c>
      <c r="H687" s="2">
        <f t="shared" si="4"/>
        <v>91</v>
      </c>
      <c r="I687" s="2">
        <f t="shared" si="5"/>
        <v>2091</v>
      </c>
    </row>
    <row r="688" ht="15.75" customHeight="1">
      <c r="A688" s="3">
        <v>45010.0</v>
      </c>
      <c r="B688" s="2" t="s">
        <v>33</v>
      </c>
      <c r="C688" s="2" t="s">
        <v>34</v>
      </c>
      <c r="D688" s="2" t="s">
        <v>16</v>
      </c>
      <c r="E688" s="2">
        <f t="shared" si="1"/>
        <v>2691</v>
      </c>
      <c r="F688" s="2">
        <f t="shared" si="2"/>
        <v>215.28</v>
      </c>
      <c r="G688" s="2">
        <f t="shared" si="3"/>
        <v>0</v>
      </c>
      <c r="H688" s="2">
        <f t="shared" si="4"/>
        <v>41</v>
      </c>
      <c r="I688" s="2">
        <f t="shared" si="5"/>
        <v>3784</v>
      </c>
    </row>
    <row r="689" ht="15.75" customHeight="1">
      <c r="A689" s="3">
        <v>45010.0</v>
      </c>
      <c r="B689" s="2" t="s">
        <v>33</v>
      </c>
      <c r="C689" s="2" t="s">
        <v>35</v>
      </c>
      <c r="D689" s="2" t="s">
        <v>25</v>
      </c>
      <c r="E689" s="2">
        <f t="shared" si="1"/>
        <v>3268</v>
      </c>
      <c r="F689" s="2">
        <f t="shared" si="2"/>
        <v>228.76</v>
      </c>
      <c r="G689" s="2">
        <f t="shared" si="3"/>
        <v>0</v>
      </c>
      <c r="H689" s="2">
        <f t="shared" si="4"/>
        <v>43</v>
      </c>
      <c r="I689" s="2">
        <f t="shared" si="5"/>
        <v>4732</v>
      </c>
    </row>
    <row r="690" ht="15.75" customHeight="1">
      <c r="A690" s="3">
        <v>45011.0</v>
      </c>
      <c r="B690" s="2" t="s">
        <v>14</v>
      </c>
      <c r="C690" s="2" t="s">
        <v>15</v>
      </c>
      <c r="D690" s="2" t="s">
        <v>24</v>
      </c>
      <c r="E690" s="2">
        <f t="shared" si="1"/>
        <v>10953</v>
      </c>
      <c r="F690" s="2">
        <f t="shared" si="2"/>
        <v>438.12</v>
      </c>
      <c r="G690" s="2">
        <f t="shared" si="3"/>
        <v>332.9712</v>
      </c>
      <c r="H690" s="2">
        <f t="shared" si="4"/>
        <v>74</v>
      </c>
      <c r="I690" s="2">
        <f t="shared" si="5"/>
        <v>2650</v>
      </c>
    </row>
    <row r="691" ht="15.75" customHeight="1">
      <c r="A691" s="3">
        <v>45011.0</v>
      </c>
      <c r="B691" s="2" t="s">
        <v>14</v>
      </c>
      <c r="C691" s="2" t="s">
        <v>17</v>
      </c>
      <c r="D691" s="2" t="s">
        <v>30</v>
      </c>
      <c r="E691" s="2">
        <f t="shared" si="1"/>
        <v>8226</v>
      </c>
      <c r="F691" s="2">
        <f t="shared" si="2"/>
        <v>658.08</v>
      </c>
      <c r="G691" s="2">
        <f t="shared" si="3"/>
        <v>381.6864</v>
      </c>
      <c r="H691" s="2">
        <f t="shared" si="4"/>
        <v>72</v>
      </c>
      <c r="I691" s="2">
        <f t="shared" si="5"/>
        <v>3949</v>
      </c>
    </row>
    <row r="692" ht="15.75" customHeight="1">
      <c r="A692" s="3">
        <v>45011.0</v>
      </c>
      <c r="B692" s="2" t="s">
        <v>20</v>
      </c>
      <c r="C692" s="2" t="s">
        <v>21</v>
      </c>
      <c r="D692" s="2" t="s">
        <v>22</v>
      </c>
      <c r="E692" s="2">
        <f t="shared" si="1"/>
        <v>4126</v>
      </c>
      <c r="F692" s="2">
        <f t="shared" si="2"/>
        <v>247.56</v>
      </c>
      <c r="G692" s="2">
        <f t="shared" si="3"/>
        <v>274.7916</v>
      </c>
      <c r="H692" s="2">
        <f t="shared" si="4"/>
        <v>45</v>
      </c>
      <c r="I692" s="2">
        <f t="shared" si="5"/>
        <v>2475</v>
      </c>
    </row>
    <row r="693" ht="15.75" customHeight="1">
      <c r="A693" s="3">
        <v>45011.0</v>
      </c>
      <c r="B693" s="2" t="s">
        <v>20</v>
      </c>
      <c r="C693" s="2" t="s">
        <v>23</v>
      </c>
      <c r="D693" s="2" t="s">
        <v>28</v>
      </c>
      <c r="E693" s="2">
        <f t="shared" si="1"/>
        <v>2820</v>
      </c>
      <c r="F693" s="2">
        <f t="shared" si="2"/>
        <v>282</v>
      </c>
      <c r="G693" s="2">
        <f t="shared" si="3"/>
        <v>501.96</v>
      </c>
      <c r="H693" s="2">
        <f t="shared" si="4"/>
        <v>20</v>
      </c>
      <c r="I693" s="2">
        <f t="shared" si="5"/>
        <v>2674</v>
      </c>
    </row>
    <row r="694" ht="15.75" customHeight="1">
      <c r="A694" s="3">
        <v>45011.0</v>
      </c>
      <c r="B694" s="2" t="s">
        <v>26</v>
      </c>
      <c r="C694" s="2" t="s">
        <v>27</v>
      </c>
      <c r="D694" s="2" t="s">
        <v>25</v>
      </c>
      <c r="E694" s="2">
        <f t="shared" si="1"/>
        <v>11019</v>
      </c>
      <c r="F694" s="2">
        <f t="shared" si="2"/>
        <v>330.57</v>
      </c>
      <c r="G694" s="2">
        <f t="shared" si="3"/>
        <v>624.7773</v>
      </c>
      <c r="H694" s="2">
        <f t="shared" si="4"/>
        <v>56</v>
      </c>
      <c r="I694" s="2">
        <f t="shared" si="5"/>
        <v>4718</v>
      </c>
    </row>
    <row r="695" ht="15.75" customHeight="1">
      <c r="A695" s="3">
        <v>45011.0</v>
      </c>
      <c r="B695" s="2" t="s">
        <v>26</v>
      </c>
      <c r="C695" s="2" t="s">
        <v>31</v>
      </c>
      <c r="D695" s="2" t="s">
        <v>28</v>
      </c>
      <c r="E695" s="2">
        <f t="shared" si="1"/>
        <v>8370</v>
      </c>
      <c r="F695" s="2">
        <f t="shared" si="2"/>
        <v>167.4</v>
      </c>
      <c r="G695" s="2">
        <f t="shared" si="3"/>
        <v>279.558</v>
      </c>
      <c r="H695" s="2">
        <f t="shared" si="4"/>
        <v>20</v>
      </c>
      <c r="I695" s="2">
        <f t="shared" si="5"/>
        <v>3839</v>
      </c>
    </row>
    <row r="696" ht="15.75" customHeight="1">
      <c r="A696" s="3">
        <v>45011.0</v>
      </c>
      <c r="B696" s="2" t="s">
        <v>33</v>
      </c>
      <c r="C696" s="2" t="s">
        <v>34</v>
      </c>
      <c r="D696" s="2" t="s">
        <v>24</v>
      </c>
      <c r="E696" s="2">
        <f t="shared" si="1"/>
        <v>4096</v>
      </c>
      <c r="F696" s="2">
        <f t="shared" si="2"/>
        <v>409.6</v>
      </c>
      <c r="G696" s="2">
        <f t="shared" si="3"/>
        <v>0</v>
      </c>
      <c r="H696" s="2">
        <f t="shared" si="4"/>
        <v>29</v>
      </c>
      <c r="I696" s="2">
        <f t="shared" si="5"/>
        <v>4298</v>
      </c>
    </row>
    <row r="697" ht="15.75" customHeight="1">
      <c r="A697" s="3">
        <v>45011.0</v>
      </c>
      <c r="B697" s="2" t="s">
        <v>33</v>
      </c>
      <c r="C697" s="2" t="s">
        <v>35</v>
      </c>
      <c r="D697" s="2" t="s">
        <v>22</v>
      </c>
      <c r="E697" s="2">
        <f t="shared" si="1"/>
        <v>5209</v>
      </c>
      <c r="F697" s="2">
        <f t="shared" si="2"/>
        <v>104.18</v>
      </c>
      <c r="G697" s="2">
        <f t="shared" si="3"/>
        <v>0</v>
      </c>
      <c r="H697" s="2">
        <f t="shared" si="4"/>
        <v>21</v>
      </c>
      <c r="I697" s="2">
        <f t="shared" si="5"/>
        <v>2881</v>
      </c>
    </row>
    <row r="698" ht="15.75" customHeight="1">
      <c r="A698" s="3">
        <v>45012.0</v>
      </c>
      <c r="B698" s="2" t="s">
        <v>14</v>
      </c>
      <c r="C698" s="2" t="s">
        <v>15</v>
      </c>
      <c r="D698" s="2" t="s">
        <v>25</v>
      </c>
      <c r="E698" s="2">
        <f t="shared" si="1"/>
        <v>10644</v>
      </c>
      <c r="F698" s="2">
        <f t="shared" si="2"/>
        <v>425.76</v>
      </c>
      <c r="G698" s="2">
        <f t="shared" si="3"/>
        <v>178.8192</v>
      </c>
      <c r="H698" s="2">
        <f t="shared" si="4"/>
        <v>64</v>
      </c>
      <c r="I698" s="2">
        <f t="shared" si="5"/>
        <v>1725</v>
      </c>
    </row>
    <row r="699" ht="15.75" customHeight="1">
      <c r="A699" s="3">
        <v>45012.0</v>
      </c>
      <c r="B699" s="2" t="s">
        <v>14</v>
      </c>
      <c r="C699" s="2" t="s">
        <v>17</v>
      </c>
      <c r="D699" s="2" t="s">
        <v>16</v>
      </c>
      <c r="E699" s="2">
        <f t="shared" si="1"/>
        <v>10707</v>
      </c>
      <c r="F699" s="2">
        <f t="shared" si="2"/>
        <v>535.35</v>
      </c>
      <c r="G699" s="2">
        <f t="shared" si="3"/>
        <v>251.6145</v>
      </c>
      <c r="H699" s="2">
        <f t="shared" si="4"/>
        <v>75</v>
      </c>
      <c r="I699" s="2">
        <f t="shared" si="5"/>
        <v>4111</v>
      </c>
    </row>
    <row r="700" ht="15.75" customHeight="1">
      <c r="A700" s="3">
        <v>45012.0</v>
      </c>
      <c r="B700" s="2" t="s">
        <v>20</v>
      </c>
      <c r="C700" s="2" t="s">
        <v>21</v>
      </c>
      <c r="D700" s="2" t="s">
        <v>18</v>
      </c>
      <c r="E700" s="2">
        <f t="shared" si="1"/>
        <v>2215</v>
      </c>
      <c r="F700" s="2">
        <f t="shared" si="2"/>
        <v>66.45</v>
      </c>
      <c r="G700" s="2">
        <f t="shared" si="3"/>
        <v>27.909</v>
      </c>
      <c r="H700" s="2">
        <f t="shared" si="4"/>
        <v>5</v>
      </c>
      <c r="I700" s="2">
        <f t="shared" si="5"/>
        <v>1833</v>
      </c>
    </row>
    <row r="701" ht="15.75" customHeight="1">
      <c r="A701" s="3">
        <v>45012.0</v>
      </c>
      <c r="B701" s="2" t="s">
        <v>20</v>
      </c>
      <c r="C701" s="2" t="s">
        <v>23</v>
      </c>
      <c r="D701" s="2" t="s">
        <v>22</v>
      </c>
      <c r="E701" s="2">
        <f t="shared" si="1"/>
        <v>2707</v>
      </c>
      <c r="F701" s="2">
        <f t="shared" si="2"/>
        <v>270.7</v>
      </c>
      <c r="G701" s="2">
        <f t="shared" si="3"/>
        <v>129.936</v>
      </c>
      <c r="H701" s="2">
        <f t="shared" si="4"/>
        <v>22</v>
      </c>
      <c r="I701" s="2">
        <f t="shared" si="5"/>
        <v>1036</v>
      </c>
    </row>
    <row r="702" ht="15.75" customHeight="1">
      <c r="A702" s="3">
        <v>45012.0</v>
      </c>
      <c r="B702" s="2" t="s">
        <v>26</v>
      </c>
      <c r="C702" s="2" t="s">
        <v>27</v>
      </c>
      <c r="D702" s="2" t="s">
        <v>13</v>
      </c>
      <c r="E702" s="2">
        <f t="shared" si="1"/>
        <v>9422</v>
      </c>
      <c r="F702" s="2">
        <f t="shared" si="2"/>
        <v>847.98</v>
      </c>
      <c r="G702" s="2">
        <f t="shared" si="3"/>
        <v>585.1062</v>
      </c>
      <c r="H702" s="2">
        <f t="shared" si="4"/>
        <v>42</v>
      </c>
      <c r="I702" s="2">
        <f t="shared" si="5"/>
        <v>4153</v>
      </c>
    </row>
    <row r="703" ht="15.75" customHeight="1">
      <c r="A703" s="3">
        <v>45012.0</v>
      </c>
      <c r="B703" s="2" t="s">
        <v>26</v>
      </c>
      <c r="C703" s="2" t="s">
        <v>31</v>
      </c>
      <c r="D703" s="2" t="s">
        <v>32</v>
      </c>
      <c r="E703" s="2">
        <f t="shared" si="1"/>
        <v>14510</v>
      </c>
      <c r="F703" s="2">
        <f t="shared" si="2"/>
        <v>1015.7</v>
      </c>
      <c r="G703" s="2">
        <f t="shared" si="3"/>
        <v>1310.253</v>
      </c>
      <c r="H703" s="2">
        <f t="shared" si="4"/>
        <v>142</v>
      </c>
      <c r="I703" s="2">
        <f t="shared" si="5"/>
        <v>339</v>
      </c>
    </row>
    <row r="704" ht="15.75" customHeight="1">
      <c r="A704" s="3">
        <v>45012.0</v>
      </c>
      <c r="B704" s="2" t="s">
        <v>33</v>
      </c>
      <c r="C704" s="2" t="s">
        <v>34</v>
      </c>
      <c r="D704" s="2" t="s">
        <v>24</v>
      </c>
      <c r="E704" s="2">
        <f t="shared" si="1"/>
        <v>3541</v>
      </c>
      <c r="F704" s="2">
        <f t="shared" si="2"/>
        <v>177.05</v>
      </c>
      <c r="G704" s="2">
        <f t="shared" si="3"/>
        <v>0</v>
      </c>
      <c r="H704" s="2">
        <f t="shared" si="4"/>
        <v>11</v>
      </c>
      <c r="I704" s="2">
        <f t="shared" si="5"/>
        <v>3458</v>
      </c>
    </row>
    <row r="705" ht="15.75" customHeight="1">
      <c r="A705" s="3">
        <v>45012.0</v>
      </c>
      <c r="B705" s="2" t="s">
        <v>33</v>
      </c>
      <c r="C705" s="2" t="s">
        <v>35</v>
      </c>
      <c r="D705" s="2" t="s">
        <v>13</v>
      </c>
      <c r="E705" s="2">
        <f t="shared" si="1"/>
        <v>4881</v>
      </c>
      <c r="F705" s="2">
        <f t="shared" si="2"/>
        <v>97.62</v>
      </c>
      <c r="G705" s="2">
        <f t="shared" si="3"/>
        <v>0</v>
      </c>
      <c r="H705" s="2">
        <f t="shared" si="4"/>
        <v>10</v>
      </c>
      <c r="I705" s="2">
        <f t="shared" si="5"/>
        <v>3182</v>
      </c>
    </row>
    <row r="706" ht="15.75" customHeight="1">
      <c r="A706" s="3">
        <v>45013.0</v>
      </c>
      <c r="B706" s="2" t="s">
        <v>14</v>
      </c>
      <c r="C706" s="2" t="s">
        <v>15</v>
      </c>
      <c r="D706" s="2" t="s">
        <v>24</v>
      </c>
      <c r="E706" s="2">
        <f t="shared" si="1"/>
        <v>9830</v>
      </c>
      <c r="F706" s="2">
        <f t="shared" si="2"/>
        <v>688.1</v>
      </c>
      <c r="G706" s="2">
        <f t="shared" si="3"/>
        <v>1032.15</v>
      </c>
      <c r="H706" s="2">
        <f t="shared" si="4"/>
        <v>89</v>
      </c>
      <c r="I706" s="2">
        <f t="shared" si="5"/>
        <v>4437</v>
      </c>
    </row>
    <row r="707" ht="15.75" customHeight="1">
      <c r="A707" s="3">
        <v>45013.0</v>
      </c>
      <c r="B707" s="2" t="s">
        <v>14</v>
      </c>
      <c r="C707" s="2" t="s">
        <v>17</v>
      </c>
      <c r="D707" s="2" t="s">
        <v>25</v>
      </c>
      <c r="E707" s="2">
        <f t="shared" si="1"/>
        <v>5425</v>
      </c>
      <c r="F707" s="2">
        <f t="shared" si="2"/>
        <v>542.5</v>
      </c>
      <c r="G707" s="2">
        <f t="shared" si="3"/>
        <v>672.7</v>
      </c>
      <c r="H707" s="2">
        <f t="shared" si="4"/>
        <v>33</v>
      </c>
      <c r="I707" s="2">
        <f t="shared" si="5"/>
        <v>3570</v>
      </c>
    </row>
    <row r="708" ht="15.75" customHeight="1">
      <c r="A708" s="3">
        <v>45013.0</v>
      </c>
      <c r="B708" s="2" t="s">
        <v>20</v>
      </c>
      <c r="C708" s="2" t="s">
        <v>21</v>
      </c>
      <c r="D708" s="2" t="s">
        <v>22</v>
      </c>
      <c r="E708" s="2">
        <f t="shared" si="1"/>
        <v>2132</v>
      </c>
      <c r="F708" s="2">
        <f t="shared" si="2"/>
        <v>42.64</v>
      </c>
      <c r="G708" s="2">
        <f t="shared" si="3"/>
        <v>81.8688</v>
      </c>
      <c r="H708" s="2">
        <f t="shared" si="4"/>
        <v>3</v>
      </c>
      <c r="I708" s="2">
        <f t="shared" si="5"/>
        <v>1986</v>
      </c>
    </row>
    <row r="709" ht="15.75" customHeight="1">
      <c r="A709" s="3">
        <v>45013.0</v>
      </c>
      <c r="B709" s="2" t="s">
        <v>20</v>
      </c>
      <c r="C709" s="2" t="s">
        <v>23</v>
      </c>
      <c r="D709" s="2" t="s">
        <v>28</v>
      </c>
      <c r="E709" s="2">
        <f t="shared" si="1"/>
        <v>5861</v>
      </c>
      <c r="F709" s="2">
        <f t="shared" si="2"/>
        <v>175.83</v>
      </c>
      <c r="G709" s="2">
        <f t="shared" si="3"/>
        <v>170.5551</v>
      </c>
      <c r="H709" s="2">
        <f t="shared" si="4"/>
        <v>9</v>
      </c>
      <c r="I709" s="2">
        <f t="shared" si="5"/>
        <v>2087</v>
      </c>
    </row>
    <row r="710" ht="15.75" customHeight="1">
      <c r="A710" s="3">
        <v>45013.0</v>
      </c>
      <c r="B710" s="2" t="s">
        <v>26</v>
      </c>
      <c r="C710" s="2" t="s">
        <v>27</v>
      </c>
      <c r="D710" s="2" t="s">
        <v>22</v>
      </c>
      <c r="E710" s="2">
        <f t="shared" si="1"/>
        <v>14988</v>
      </c>
      <c r="F710" s="2">
        <f t="shared" si="2"/>
        <v>599.52</v>
      </c>
      <c r="G710" s="2">
        <f t="shared" si="3"/>
        <v>935.2512</v>
      </c>
      <c r="H710" s="2">
        <f t="shared" si="4"/>
        <v>108</v>
      </c>
      <c r="I710" s="2">
        <f t="shared" si="5"/>
        <v>1439</v>
      </c>
    </row>
    <row r="711" ht="15.75" customHeight="1">
      <c r="A711" s="3">
        <v>45013.0</v>
      </c>
      <c r="B711" s="2" t="s">
        <v>26</v>
      </c>
      <c r="C711" s="2" t="s">
        <v>31</v>
      </c>
      <c r="D711" s="2" t="s">
        <v>18</v>
      </c>
      <c r="E711" s="2">
        <f t="shared" si="1"/>
        <v>8042</v>
      </c>
      <c r="F711" s="2">
        <f t="shared" si="2"/>
        <v>723.78</v>
      </c>
      <c r="G711" s="2">
        <f t="shared" si="3"/>
        <v>940.914</v>
      </c>
      <c r="H711" s="2">
        <f t="shared" si="4"/>
        <v>87</v>
      </c>
      <c r="I711" s="2">
        <f t="shared" si="5"/>
        <v>109</v>
      </c>
    </row>
    <row r="712" ht="15.75" customHeight="1">
      <c r="A712" s="3">
        <v>45013.0</v>
      </c>
      <c r="B712" s="2" t="s">
        <v>33</v>
      </c>
      <c r="C712" s="2" t="s">
        <v>34</v>
      </c>
      <c r="D712" s="2" t="s">
        <v>28</v>
      </c>
      <c r="E712" s="2">
        <f t="shared" si="1"/>
        <v>4293</v>
      </c>
      <c r="F712" s="2">
        <f t="shared" si="2"/>
        <v>257.58</v>
      </c>
      <c r="G712" s="2">
        <f t="shared" si="3"/>
        <v>0</v>
      </c>
      <c r="H712" s="2">
        <f t="shared" si="4"/>
        <v>18</v>
      </c>
      <c r="I712" s="2">
        <f t="shared" si="5"/>
        <v>1617</v>
      </c>
    </row>
    <row r="713" ht="15.75" customHeight="1">
      <c r="A713" s="3">
        <v>45013.0</v>
      </c>
      <c r="B713" s="2" t="s">
        <v>33</v>
      </c>
      <c r="C713" s="2" t="s">
        <v>35</v>
      </c>
      <c r="D713" s="2" t="s">
        <v>18</v>
      </c>
      <c r="E713" s="2">
        <f t="shared" si="1"/>
        <v>3036</v>
      </c>
      <c r="F713" s="2">
        <f t="shared" si="2"/>
        <v>151.8</v>
      </c>
      <c r="G713" s="2">
        <f t="shared" si="3"/>
        <v>0</v>
      </c>
      <c r="H713" s="2">
        <f t="shared" si="4"/>
        <v>26</v>
      </c>
      <c r="I713" s="2">
        <f t="shared" si="5"/>
        <v>720</v>
      </c>
    </row>
    <row r="714" ht="15.75" customHeight="1">
      <c r="A714" s="3">
        <v>45014.0</v>
      </c>
      <c r="B714" s="2" t="s">
        <v>14</v>
      </c>
      <c r="C714" s="2" t="s">
        <v>15</v>
      </c>
      <c r="D714" s="2" t="s">
        <v>25</v>
      </c>
      <c r="E714" s="2">
        <f t="shared" si="1"/>
        <v>10336</v>
      </c>
      <c r="F714" s="2">
        <f t="shared" si="2"/>
        <v>413.44</v>
      </c>
      <c r="G714" s="2">
        <f t="shared" si="3"/>
        <v>500.2624</v>
      </c>
      <c r="H714" s="2">
        <f t="shared" si="4"/>
        <v>45</v>
      </c>
      <c r="I714" s="2">
        <f t="shared" si="5"/>
        <v>2811</v>
      </c>
    </row>
    <row r="715" ht="15.75" customHeight="1">
      <c r="A715" s="3">
        <v>45014.0</v>
      </c>
      <c r="B715" s="2" t="s">
        <v>14</v>
      </c>
      <c r="C715" s="2" t="s">
        <v>17</v>
      </c>
      <c r="D715" s="2" t="s">
        <v>16</v>
      </c>
      <c r="E715" s="2">
        <f t="shared" si="1"/>
        <v>8543</v>
      </c>
      <c r="F715" s="2">
        <f t="shared" si="2"/>
        <v>768.87</v>
      </c>
      <c r="G715" s="2">
        <f t="shared" si="3"/>
        <v>645.8508</v>
      </c>
      <c r="H715" s="2">
        <f t="shared" si="4"/>
        <v>131</v>
      </c>
      <c r="I715" s="2">
        <f t="shared" si="5"/>
        <v>2691</v>
      </c>
    </row>
    <row r="716" ht="15.75" customHeight="1">
      <c r="A716" s="3">
        <v>45014.0</v>
      </c>
      <c r="B716" s="2" t="s">
        <v>20</v>
      </c>
      <c r="C716" s="2" t="s">
        <v>21</v>
      </c>
      <c r="D716" s="2" t="s">
        <v>18</v>
      </c>
      <c r="E716" s="2">
        <f t="shared" si="1"/>
        <v>5721</v>
      </c>
      <c r="F716" s="2">
        <f t="shared" si="2"/>
        <v>286.05</v>
      </c>
      <c r="G716" s="2">
        <f t="shared" si="3"/>
        <v>506.3085</v>
      </c>
      <c r="H716" s="2">
        <f t="shared" si="4"/>
        <v>31</v>
      </c>
      <c r="I716" s="2">
        <f t="shared" si="5"/>
        <v>263</v>
      </c>
    </row>
    <row r="717" ht="15.75" customHeight="1">
      <c r="A717" s="3">
        <v>45014.0</v>
      </c>
      <c r="B717" s="2" t="s">
        <v>20</v>
      </c>
      <c r="C717" s="2" t="s">
        <v>23</v>
      </c>
      <c r="D717" s="2" t="s">
        <v>18</v>
      </c>
      <c r="E717" s="2">
        <f t="shared" si="1"/>
        <v>2299</v>
      </c>
      <c r="F717" s="2">
        <f t="shared" si="2"/>
        <v>45.98</v>
      </c>
      <c r="G717" s="2">
        <f t="shared" si="3"/>
        <v>13.794</v>
      </c>
      <c r="H717" s="2">
        <f t="shared" si="4"/>
        <v>8</v>
      </c>
      <c r="I717" s="2">
        <f t="shared" si="5"/>
        <v>4580</v>
      </c>
    </row>
    <row r="718" ht="15.75" customHeight="1">
      <c r="A718" s="3">
        <v>45014.0</v>
      </c>
      <c r="B718" s="2" t="s">
        <v>26</v>
      </c>
      <c r="C718" s="2" t="s">
        <v>27</v>
      </c>
      <c r="D718" s="2" t="s">
        <v>19</v>
      </c>
      <c r="E718" s="2">
        <f t="shared" si="1"/>
        <v>11236</v>
      </c>
      <c r="F718" s="2">
        <f t="shared" si="2"/>
        <v>561.8</v>
      </c>
      <c r="G718" s="2">
        <f t="shared" si="3"/>
        <v>983.15</v>
      </c>
      <c r="H718" s="2">
        <f t="shared" si="4"/>
        <v>90</v>
      </c>
      <c r="I718" s="2">
        <f t="shared" si="5"/>
        <v>3139</v>
      </c>
    </row>
    <row r="719" ht="15.75" customHeight="1">
      <c r="A719" s="3">
        <v>45014.0</v>
      </c>
      <c r="B719" s="2" t="s">
        <v>26</v>
      </c>
      <c r="C719" s="2" t="s">
        <v>31</v>
      </c>
      <c r="D719" s="2" t="s">
        <v>13</v>
      </c>
      <c r="E719" s="2">
        <f t="shared" si="1"/>
        <v>14894</v>
      </c>
      <c r="F719" s="2">
        <f t="shared" si="2"/>
        <v>1489.4</v>
      </c>
      <c r="G719" s="2">
        <f t="shared" si="3"/>
        <v>1608.552</v>
      </c>
      <c r="H719" s="2">
        <f t="shared" si="4"/>
        <v>283</v>
      </c>
      <c r="I719" s="2">
        <f t="shared" si="5"/>
        <v>965</v>
      </c>
    </row>
    <row r="720" ht="15.75" customHeight="1">
      <c r="A720" s="3">
        <v>45014.0</v>
      </c>
      <c r="B720" s="2" t="s">
        <v>33</v>
      </c>
      <c r="C720" s="2" t="s">
        <v>34</v>
      </c>
      <c r="D720" s="2" t="s">
        <v>19</v>
      </c>
      <c r="E720" s="2">
        <f t="shared" si="1"/>
        <v>5940</v>
      </c>
      <c r="F720" s="2">
        <f t="shared" si="2"/>
        <v>237.6</v>
      </c>
      <c r="G720" s="2">
        <f t="shared" si="3"/>
        <v>0</v>
      </c>
      <c r="H720" s="2">
        <f t="shared" si="4"/>
        <v>12</v>
      </c>
      <c r="I720" s="2">
        <f t="shared" si="5"/>
        <v>1166</v>
      </c>
    </row>
    <row r="721" ht="15.75" customHeight="1">
      <c r="A721" s="3">
        <v>45014.0</v>
      </c>
      <c r="B721" s="2" t="s">
        <v>33</v>
      </c>
      <c r="C721" s="2" t="s">
        <v>35</v>
      </c>
      <c r="D721" s="2" t="s">
        <v>25</v>
      </c>
      <c r="E721" s="2">
        <f t="shared" si="1"/>
        <v>5493</v>
      </c>
      <c r="F721" s="2">
        <f t="shared" si="2"/>
        <v>164.79</v>
      </c>
      <c r="G721" s="2">
        <f t="shared" si="3"/>
        <v>0</v>
      </c>
      <c r="H721" s="2">
        <f t="shared" si="4"/>
        <v>8</v>
      </c>
      <c r="I721" s="2">
        <f t="shared" si="5"/>
        <v>1704</v>
      </c>
    </row>
    <row r="722" ht="15.75" customHeight="1">
      <c r="A722" s="3">
        <v>45015.0</v>
      </c>
      <c r="B722" s="2" t="s">
        <v>14</v>
      </c>
      <c r="C722" s="2" t="s">
        <v>15</v>
      </c>
      <c r="D722" s="2" t="s">
        <v>30</v>
      </c>
      <c r="E722" s="2">
        <f t="shared" si="1"/>
        <v>7429</v>
      </c>
      <c r="F722" s="2">
        <f t="shared" si="2"/>
        <v>297.16</v>
      </c>
      <c r="G722" s="2">
        <f t="shared" si="3"/>
        <v>585.4052</v>
      </c>
      <c r="H722" s="2">
        <f t="shared" si="4"/>
        <v>27</v>
      </c>
      <c r="I722" s="2">
        <f t="shared" si="5"/>
        <v>4820</v>
      </c>
    </row>
    <row r="723" ht="15.75" customHeight="1">
      <c r="A723" s="3">
        <v>45015.0</v>
      </c>
      <c r="B723" s="2" t="s">
        <v>14</v>
      </c>
      <c r="C723" s="2" t="s">
        <v>17</v>
      </c>
      <c r="D723" s="2" t="s">
        <v>30</v>
      </c>
      <c r="E723" s="2">
        <f t="shared" si="1"/>
        <v>5496</v>
      </c>
      <c r="F723" s="2">
        <f t="shared" si="2"/>
        <v>329.76</v>
      </c>
      <c r="G723" s="2">
        <f t="shared" si="3"/>
        <v>369.3312</v>
      </c>
      <c r="H723" s="2">
        <f t="shared" si="4"/>
        <v>40</v>
      </c>
      <c r="I723" s="2">
        <f t="shared" si="5"/>
        <v>3663</v>
      </c>
    </row>
    <row r="724" ht="15.75" customHeight="1">
      <c r="A724" s="3">
        <v>45015.0</v>
      </c>
      <c r="B724" s="2" t="s">
        <v>20</v>
      </c>
      <c r="C724" s="2" t="s">
        <v>21</v>
      </c>
      <c r="D724" s="2" t="s">
        <v>24</v>
      </c>
      <c r="E724" s="2">
        <f t="shared" si="1"/>
        <v>3614</v>
      </c>
      <c r="F724" s="2">
        <f t="shared" si="2"/>
        <v>361.4</v>
      </c>
      <c r="G724" s="2">
        <f t="shared" si="3"/>
        <v>187.928</v>
      </c>
      <c r="H724" s="2">
        <f t="shared" si="4"/>
        <v>25</v>
      </c>
      <c r="I724" s="2">
        <f t="shared" si="5"/>
        <v>2051</v>
      </c>
    </row>
    <row r="725" ht="15.75" customHeight="1">
      <c r="A725" s="3">
        <v>45015.0</v>
      </c>
      <c r="B725" s="2" t="s">
        <v>20</v>
      </c>
      <c r="C725" s="2" t="s">
        <v>23</v>
      </c>
      <c r="D725" s="2" t="s">
        <v>19</v>
      </c>
      <c r="E725" s="2">
        <f t="shared" si="1"/>
        <v>4390</v>
      </c>
      <c r="F725" s="2">
        <f t="shared" si="2"/>
        <v>395.1</v>
      </c>
      <c r="G725" s="2">
        <f t="shared" si="3"/>
        <v>608.454</v>
      </c>
      <c r="H725" s="2">
        <f t="shared" si="4"/>
        <v>28</v>
      </c>
      <c r="I725" s="2">
        <f t="shared" si="5"/>
        <v>4715</v>
      </c>
    </row>
    <row r="726" ht="15.75" customHeight="1">
      <c r="A726" s="3">
        <v>45015.0</v>
      </c>
      <c r="B726" s="2" t="s">
        <v>26</v>
      </c>
      <c r="C726" s="2" t="s">
        <v>27</v>
      </c>
      <c r="D726" s="2" t="s">
        <v>22</v>
      </c>
      <c r="E726" s="2">
        <f t="shared" si="1"/>
        <v>11648</v>
      </c>
      <c r="F726" s="2">
        <f t="shared" si="2"/>
        <v>931.84</v>
      </c>
      <c r="G726" s="2">
        <f t="shared" si="3"/>
        <v>1565.4912</v>
      </c>
      <c r="H726" s="2">
        <f t="shared" si="4"/>
        <v>93</v>
      </c>
      <c r="I726" s="2">
        <f t="shared" si="5"/>
        <v>992</v>
      </c>
    </row>
    <row r="727" ht="15.75" customHeight="1">
      <c r="A727" s="3">
        <v>45015.0</v>
      </c>
      <c r="B727" s="2" t="s">
        <v>26</v>
      </c>
      <c r="C727" s="2" t="s">
        <v>31</v>
      </c>
      <c r="D727" s="2" t="s">
        <v>28</v>
      </c>
      <c r="E727" s="2">
        <f t="shared" si="1"/>
        <v>13380</v>
      </c>
      <c r="F727" s="2">
        <f t="shared" si="2"/>
        <v>401.4</v>
      </c>
      <c r="G727" s="2">
        <f t="shared" si="3"/>
        <v>373.302</v>
      </c>
      <c r="H727" s="2">
        <f t="shared" si="4"/>
        <v>72</v>
      </c>
      <c r="I727" s="2">
        <f t="shared" si="5"/>
        <v>4499</v>
      </c>
    </row>
    <row r="728" ht="15.75" customHeight="1">
      <c r="A728" s="3">
        <v>45015.0</v>
      </c>
      <c r="B728" s="2" t="s">
        <v>33</v>
      </c>
      <c r="C728" s="2" t="s">
        <v>34</v>
      </c>
      <c r="D728" s="2" t="s">
        <v>32</v>
      </c>
      <c r="E728" s="2">
        <f t="shared" si="1"/>
        <v>3742</v>
      </c>
      <c r="F728" s="2">
        <f t="shared" si="2"/>
        <v>299.36</v>
      </c>
      <c r="G728" s="2">
        <f t="shared" si="3"/>
        <v>0</v>
      </c>
      <c r="H728" s="2">
        <f t="shared" si="4"/>
        <v>60</v>
      </c>
      <c r="I728" s="2">
        <f t="shared" si="5"/>
        <v>1427</v>
      </c>
    </row>
    <row r="729" ht="15.75" customHeight="1">
      <c r="A729" s="3">
        <v>45015.0</v>
      </c>
      <c r="B729" s="2" t="s">
        <v>33</v>
      </c>
      <c r="C729" s="2" t="s">
        <v>35</v>
      </c>
      <c r="D729" s="2" t="s">
        <v>18</v>
      </c>
      <c r="E729" s="2">
        <f t="shared" si="1"/>
        <v>2321</v>
      </c>
      <c r="F729" s="2">
        <f t="shared" si="2"/>
        <v>69.63</v>
      </c>
      <c r="G729" s="2">
        <f t="shared" si="3"/>
        <v>0</v>
      </c>
      <c r="H729" s="2">
        <f t="shared" si="4"/>
        <v>14</v>
      </c>
      <c r="I729" s="2">
        <f t="shared" si="5"/>
        <v>3199</v>
      </c>
    </row>
    <row r="730" ht="15.75" customHeight="1">
      <c r="A730" s="3">
        <v>45016.0</v>
      </c>
      <c r="B730" s="2" t="s">
        <v>14</v>
      </c>
      <c r="C730" s="2" t="s">
        <v>15</v>
      </c>
      <c r="D730" s="2" t="s">
        <v>25</v>
      </c>
      <c r="E730" s="2">
        <f t="shared" si="1"/>
        <v>8834</v>
      </c>
      <c r="F730" s="2">
        <f t="shared" si="2"/>
        <v>441.7</v>
      </c>
      <c r="G730" s="2">
        <f t="shared" si="3"/>
        <v>666.967</v>
      </c>
      <c r="H730" s="2">
        <f t="shared" si="4"/>
        <v>88</v>
      </c>
      <c r="I730" s="2">
        <f t="shared" si="5"/>
        <v>4802</v>
      </c>
    </row>
    <row r="731" ht="15.75" customHeight="1">
      <c r="A731" s="3">
        <v>45016.0</v>
      </c>
      <c r="B731" s="2" t="s">
        <v>14</v>
      </c>
      <c r="C731" s="2" t="s">
        <v>17</v>
      </c>
      <c r="D731" s="2" t="s">
        <v>30</v>
      </c>
      <c r="E731" s="2">
        <f t="shared" si="1"/>
        <v>8477</v>
      </c>
      <c r="F731" s="2">
        <f t="shared" si="2"/>
        <v>678.16</v>
      </c>
      <c r="G731" s="2">
        <f t="shared" si="3"/>
        <v>935.8608</v>
      </c>
      <c r="H731" s="2">
        <f t="shared" si="4"/>
        <v>115</v>
      </c>
      <c r="I731" s="2">
        <f t="shared" si="5"/>
        <v>410</v>
      </c>
    </row>
    <row r="732" ht="15.75" customHeight="1">
      <c r="A732" s="3">
        <v>45016.0</v>
      </c>
      <c r="B732" s="2" t="s">
        <v>20</v>
      </c>
      <c r="C732" s="2" t="s">
        <v>21</v>
      </c>
      <c r="D732" s="2" t="s">
        <v>22</v>
      </c>
      <c r="E732" s="2">
        <f t="shared" si="1"/>
        <v>2233</v>
      </c>
      <c r="F732" s="2">
        <f t="shared" si="2"/>
        <v>223.3</v>
      </c>
      <c r="G732" s="2">
        <f t="shared" si="3"/>
        <v>366.212</v>
      </c>
      <c r="H732" s="2">
        <f t="shared" si="4"/>
        <v>16</v>
      </c>
      <c r="I732" s="2">
        <f t="shared" si="5"/>
        <v>2443</v>
      </c>
    </row>
    <row r="733" ht="15.75" customHeight="1">
      <c r="A733" s="3">
        <v>45016.0</v>
      </c>
      <c r="B733" s="2" t="s">
        <v>20</v>
      </c>
      <c r="C733" s="2" t="s">
        <v>23</v>
      </c>
      <c r="D733" s="2" t="s">
        <v>13</v>
      </c>
      <c r="E733" s="2">
        <f t="shared" si="1"/>
        <v>5445</v>
      </c>
      <c r="F733" s="2">
        <f t="shared" si="2"/>
        <v>544.5</v>
      </c>
      <c r="G733" s="2">
        <f t="shared" si="3"/>
        <v>696.96</v>
      </c>
      <c r="H733" s="2">
        <f t="shared" si="4"/>
        <v>103</v>
      </c>
      <c r="I733" s="2">
        <f t="shared" si="5"/>
        <v>135</v>
      </c>
    </row>
    <row r="734" ht="15.75" customHeight="1">
      <c r="A734" s="3">
        <v>45016.0</v>
      </c>
      <c r="B734" s="2" t="s">
        <v>26</v>
      </c>
      <c r="C734" s="2" t="s">
        <v>27</v>
      </c>
      <c r="D734" s="2" t="s">
        <v>22</v>
      </c>
      <c r="E734" s="2">
        <f t="shared" si="1"/>
        <v>10092</v>
      </c>
      <c r="F734" s="2">
        <f t="shared" si="2"/>
        <v>403.68</v>
      </c>
      <c r="G734" s="2">
        <f t="shared" si="3"/>
        <v>452.1216</v>
      </c>
      <c r="H734" s="2">
        <f t="shared" si="4"/>
        <v>32</v>
      </c>
      <c r="I734" s="2">
        <f t="shared" si="5"/>
        <v>681</v>
      </c>
    </row>
    <row r="735" ht="15.75" customHeight="1">
      <c r="A735" s="3">
        <v>45016.0</v>
      </c>
      <c r="B735" s="2" t="s">
        <v>26</v>
      </c>
      <c r="C735" s="2" t="s">
        <v>31</v>
      </c>
      <c r="D735" s="2" t="s">
        <v>30</v>
      </c>
      <c r="E735" s="2">
        <f t="shared" si="1"/>
        <v>14764</v>
      </c>
      <c r="F735" s="2">
        <f t="shared" si="2"/>
        <v>1181.12</v>
      </c>
      <c r="G735" s="2">
        <f t="shared" si="3"/>
        <v>1405.5328</v>
      </c>
      <c r="H735" s="2">
        <f t="shared" si="4"/>
        <v>213</v>
      </c>
      <c r="I735" s="2">
        <f t="shared" si="5"/>
        <v>2239</v>
      </c>
    </row>
    <row r="736" ht="15.75" customHeight="1">
      <c r="A736" s="3">
        <v>45016.0</v>
      </c>
      <c r="B736" s="2" t="s">
        <v>33</v>
      </c>
      <c r="C736" s="2" t="s">
        <v>34</v>
      </c>
      <c r="D736" s="2" t="s">
        <v>19</v>
      </c>
      <c r="E736" s="2">
        <f t="shared" si="1"/>
        <v>2989</v>
      </c>
      <c r="F736" s="2">
        <f t="shared" si="2"/>
        <v>59.78</v>
      </c>
      <c r="G736" s="2">
        <f t="shared" si="3"/>
        <v>0</v>
      </c>
      <c r="H736" s="2">
        <f t="shared" si="4"/>
        <v>5</v>
      </c>
      <c r="I736" s="2">
        <f t="shared" si="5"/>
        <v>638</v>
      </c>
    </row>
    <row r="737" ht="15.75" customHeight="1">
      <c r="A737" s="3">
        <v>45016.0</v>
      </c>
      <c r="B737" s="2" t="s">
        <v>33</v>
      </c>
      <c r="C737" s="2" t="s">
        <v>35</v>
      </c>
      <c r="D737" s="2" t="s">
        <v>18</v>
      </c>
      <c r="E737" s="2">
        <f t="shared" si="1"/>
        <v>2736</v>
      </c>
      <c r="F737" s="2">
        <f t="shared" si="2"/>
        <v>246.24</v>
      </c>
      <c r="G737" s="2">
        <f t="shared" si="3"/>
        <v>0</v>
      </c>
      <c r="H737" s="2">
        <f t="shared" si="4"/>
        <v>27</v>
      </c>
      <c r="I737" s="2">
        <f t="shared" si="5"/>
        <v>1854</v>
      </c>
    </row>
    <row r="738" ht="15.75" customHeight="1">
      <c r="A738" s="3"/>
    </row>
    <row r="739" ht="15.75" customHeight="1">
      <c r="A739" s="1"/>
    </row>
    <row r="740" ht="15.75" customHeight="1">
      <c r="A740" s="1"/>
    </row>
    <row r="741" ht="15.75" customHeight="1">
      <c r="A741" s="1"/>
    </row>
    <row r="742" ht="15.75" customHeight="1">
      <c r="A742" s="1"/>
    </row>
    <row r="743" ht="15.75" customHeight="1">
      <c r="A743" s="1"/>
    </row>
    <row r="744" ht="15.75" customHeight="1">
      <c r="A744" s="1"/>
    </row>
    <row r="745" ht="15.75" customHeight="1">
      <c r="A745" s="1"/>
    </row>
    <row r="746" ht="15.75" customHeight="1">
      <c r="A746" s="1"/>
    </row>
    <row r="747" ht="15.75" customHeight="1">
      <c r="A747" s="1"/>
    </row>
    <row r="748" ht="15.75" customHeight="1">
      <c r="A748" s="1"/>
    </row>
    <row r="749" ht="15.75" customHeight="1">
      <c r="A749" s="1"/>
    </row>
    <row r="750" ht="15.75" customHeight="1">
      <c r="A750" s="1"/>
    </row>
    <row r="751" ht="15.75" customHeight="1">
      <c r="A751" s="1"/>
    </row>
    <row r="752" ht="15.75" customHeight="1">
      <c r="A752" s="1"/>
    </row>
    <row r="753" ht="15.75" customHeight="1">
      <c r="A753" s="1"/>
    </row>
    <row r="754" ht="15.75" customHeight="1">
      <c r="A754" s="1"/>
    </row>
    <row r="755" ht="15.75" customHeight="1">
      <c r="A755" s="1"/>
    </row>
    <row r="756" ht="15.75" customHeight="1">
      <c r="A756" s="1"/>
    </row>
    <row r="757" ht="15.75" customHeight="1">
      <c r="A757" s="1"/>
    </row>
    <row r="758" ht="15.75" customHeight="1">
      <c r="A758" s="1"/>
    </row>
    <row r="759" ht="15.75" customHeight="1">
      <c r="A759" s="1"/>
    </row>
    <row r="760" ht="15.75" customHeight="1">
      <c r="A760" s="1"/>
    </row>
    <row r="761" ht="15.75" customHeight="1">
      <c r="A761" s="1"/>
    </row>
    <row r="762" ht="15.75" customHeight="1">
      <c r="A762" s="1"/>
    </row>
    <row r="763" ht="15.75" customHeight="1">
      <c r="A763" s="1"/>
    </row>
    <row r="764" ht="15.75" customHeight="1">
      <c r="A764" s="1"/>
    </row>
    <row r="765" ht="15.75" customHeight="1">
      <c r="A765" s="1"/>
    </row>
    <row r="766" ht="15.75" customHeight="1">
      <c r="A766" s="1"/>
    </row>
    <row r="767" ht="15.75" customHeight="1">
      <c r="A767" s="1"/>
    </row>
    <row r="768" ht="15.75" customHeight="1">
      <c r="A768" s="1"/>
    </row>
    <row r="769" ht="15.75" customHeight="1">
      <c r="A769" s="1"/>
    </row>
    <row r="770" ht="15.75" customHeight="1">
      <c r="A770" s="1"/>
    </row>
    <row r="771" ht="15.75" customHeight="1">
      <c r="A771" s="1"/>
    </row>
    <row r="772" ht="15.75" customHeight="1">
      <c r="A772" s="1"/>
    </row>
    <row r="773" ht="15.75" customHeight="1">
      <c r="A773" s="1"/>
    </row>
    <row r="774" ht="15.75" customHeight="1">
      <c r="A774" s="1"/>
    </row>
    <row r="775" ht="15.75" customHeight="1">
      <c r="A775" s="1"/>
    </row>
    <row r="776" ht="15.75" customHeight="1">
      <c r="A776" s="1"/>
    </row>
    <row r="777" ht="15.75" customHeight="1">
      <c r="A777" s="1"/>
    </row>
    <row r="778" ht="15.75" customHeight="1">
      <c r="A778" s="1"/>
    </row>
    <row r="779" ht="15.75" customHeight="1">
      <c r="A779" s="1"/>
    </row>
    <row r="780" ht="15.75" customHeight="1">
      <c r="A780" s="1"/>
    </row>
    <row r="781" ht="15.75" customHeight="1">
      <c r="A781" s="1"/>
    </row>
    <row r="782" ht="15.75" customHeight="1">
      <c r="A782" s="1"/>
    </row>
    <row r="783" ht="15.75" customHeight="1">
      <c r="A783" s="1"/>
    </row>
    <row r="784" ht="15.75" customHeight="1">
      <c r="A784" s="1"/>
    </row>
    <row r="785" ht="15.75" customHeight="1">
      <c r="A785" s="1"/>
    </row>
    <row r="786" ht="15.75" customHeight="1">
      <c r="A786" s="1"/>
    </row>
    <row r="787" ht="15.75" customHeight="1">
      <c r="A787" s="1"/>
    </row>
    <row r="788" ht="15.75" customHeight="1">
      <c r="A788" s="1"/>
    </row>
    <row r="789" ht="15.75" customHeight="1">
      <c r="A789" s="1"/>
    </row>
    <row r="790" ht="15.75" customHeight="1">
      <c r="A790" s="1"/>
    </row>
    <row r="791" ht="15.75" customHeight="1">
      <c r="A791" s="1"/>
    </row>
    <row r="792" ht="15.75" customHeight="1">
      <c r="A792" s="1"/>
    </row>
    <row r="793" ht="15.75" customHeight="1">
      <c r="A793" s="1"/>
    </row>
    <row r="794" ht="15.75" customHeight="1">
      <c r="A794" s="1"/>
    </row>
    <row r="795" ht="15.75" customHeight="1">
      <c r="A795" s="1"/>
    </row>
    <row r="796" ht="15.75" customHeight="1">
      <c r="A796" s="1"/>
    </row>
    <row r="797" ht="15.75" customHeight="1">
      <c r="A797" s="1"/>
    </row>
    <row r="798" ht="15.75" customHeight="1">
      <c r="A798" s="1"/>
    </row>
    <row r="799" ht="15.75" customHeight="1">
      <c r="A799" s="1"/>
    </row>
    <row r="800" ht="15.75" customHeight="1">
      <c r="A800" s="1"/>
    </row>
    <row r="801" ht="15.75" customHeight="1">
      <c r="A801" s="1"/>
    </row>
    <row r="802" ht="15.75" customHeight="1">
      <c r="A802" s="1"/>
    </row>
    <row r="803" ht="15.75" customHeight="1">
      <c r="A803" s="1"/>
    </row>
    <row r="804" ht="15.75" customHeight="1">
      <c r="A804" s="1"/>
    </row>
    <row r="805" ht="15.75" customHeight="1">
      <c r="A805" s="1"/>
    </row>
    <row r="806" ht="15.75" customHeight="1">
      <c r="A806" s="1"/>
    </row>
    <row r="807" ht="15.75" customHeight="1">
      <c r="A807" s="1"/>
    </row>
    <row r="808" ht="15.75" customHeight="1">
      <c r="A808" s="1"/>
    </row>
    <row r="809" ht="15.75" customHeight="1">
      <c r="A809" s="1"/>
    </row>
    <row r="810" ht="15.75" customHeight="1">
      <c r="A810" s="1"/>
    </row>
    <row r="811" ht="15.75" customHeight="1">
      <c r="A811" s="1"/>
    </row>
    <row r="812" ht="15.75" customHeight="1">
      <c r="A812" s="1"/>
    </row>
    <row r="813" ht="15.75" customHeight="1">
      <c r="A813" s="1"/>
    </row>
    <row r="814" ht="15.75" customHeight="1">
      <c r="A814" s="1"/>
    </row>
    <row r="815" ht="15.75" customHeight="1">
      <c r="A815" s="1"/>
    </row>
    <row r="816" ht="15.75" customHeight="1">
      <c r="A816" s="1"/>
    </row>
    <row r="817" ht="15.75" customHeight="1">
      <c r="A817" s="1"/>
    </row>
    <row r="818" ht="15.75" customHeight="1">
      <c r="A818" s="1"/>
    </row>
    <row r="819" ht="15.75" customHeight="1">
      <c r="A819" s="1"/>
    </row>
    <row r="820" ht="15.75" customHeight="1">
      <c r="A820" s="1"/>
    </row>
    <row r="821" ht="15.75" customHeight="1">
      <c r="A821" s="1"/>
    </row>
    <row r="822" ht="15.75" customHeight="1">
      <c r="A822" s="1"/>
    </row>
    <row r="823" ht="15.75" customHeight="1">
      <c r="A823" s="1"/>
    </row>
    <row r="824" ht="15.75" customHeight="1">
      <c r="A824" s="1"/>
    </row>
    <row r="825" ht="15.75" customHeight="1">
      <c r="A825" s="1"/>
    </row>
    <row r="826" ht="15.75" customHeight="1">
      <c r="A826" s="1"/>
    </row>
    <row r="827" ht="15.75" customHeight="1">
      <c r="A827" s="1"/>
    </row>
    <row r="828" ht="15.75" customHeight="1">
      <c r="A828" s="1"/>
    </row>
    <row r="829" ht="15.75" customHeight="1">
      <c r="A829" s="1"/>
    </row>
    <row r="830" ht="15.75" customHeight="1">
      <c r="A830" s="1"/>
    </row>
    <row r="831" ht="15.75" customHeight="1">
      <c r="A831" s="1"/>
    </row>
    <row r="832" ht="15.75" customHeight="1">
      <c r="A832" s="1"/>
    </row>
    <row r="833" ht="15.75" customHeight="1">
      <c r="A833" s="1"/>
    </row>
    <row r="834" ht="15.75" customHeight="1">
      <c r="A834" s="1"/>
    </row>
    <row r="835" ht="15.75" customHeight="1">
      <c r="A835" s="1"/>
    </row>
    <row r="836" ht="15.75" customHeight="1">
      <c r="A836" s="1"/>
    </row>
    <row r="837" ht="15.75" customHeight="1">
      <c r="A837" s="1"/>
    </row>
    <row r="838" ht="15.75" customHeight="1">
      <c r="A838" s="1"/>
    </row>
    <row r="839" ht="15.75" customHeight="1">
      <c r="A839" s="1"/>
    </row>
    <row r="840" ht="15.75" customHeight="1">
      <c r="A840" s="1"/>
    </row>
    <row r="841" ht="15.75" customHeight="1">
      <c r="A841" s="1"/>
    </row>
    <row r="842" ht="15.75" customHeight="1">
      <c r="A842" s="1"/>
    </row>
    <row r="843" ht="15.75" customHeight="1">
      <c r="A843" s="1"/>
    </row>
    <row r="844" ht="15.75" customHeight="1">
      <c r="A844" s="1"/>
    </row>
    <row r="845" ht="15.75" customHeight="1">
      <c r="A845" s="1"/>
    </row>
    <row r="846" ht="15.75" customHeight="1">
      <c r="A846" s="1"/>
    </row>
    <row r="847" ht="15.75" customHeight="1">
      <c r="A847" s="1"/>
    </row>
    <row r="848" ht="15.75" customHeight="1">
      <c r="A848" s="1"/>
    </row>
    <row r="849" ht="15.75" customHeight="1">
      <c r="A849" s="1"/>
    </row>
    <row r="850" ht="15.75" customHeight="1">
      <c r="A850" s="1"/>
    </row>
    <row r="851" ht="15.75" customHeight="1">
      <c r="A851" s="1"/>
    </row>
    <row r="852" ht="15.75" customHeight="1">
      <c r="A852" s="1"/>
    </row>
    <row r="853" ht="15.75" customHeight="1">
      <c r="A853" s="1"/>
    </row>
    <row r="854" ht="15.75" customHeight="1">
      <c r="A854" s="1"/>
    </row>
    <row r="855" ht="15.75" customHeight="1">
      <c r="A855" s="1"/>
    </row>
    <row r="856" ht="15.75" customHeight="1">
      <c r="A856" s="1"/>
    </row>
    <row r="857" ht="15.75" customHeight="1">
      <c r="A857" s="1"/>
    </row>
    <row r="858" ht="15.75" customHeight="1">
      <c r="A858" s="1"/>
    </row>
    <row r="859" ht="15.75" customHeight="1">
      <c r="A859" s="1"/>
    </row>
    <row r="860" ht="15.75" customHeight="1">
      <c r="A860" s="1"/>
    </row>
    <row r="861" ht="15.75" customHeight="1">
      <c r="A861" s="1"/>
    </row>
    <row r="862" ht="15.75" customHeight="1">
      <c r="A862" s="1"/>
    </row>
    <row r="863" ht="15.75" customHeight="1">
      <c r="A863" s="1"/>
    </row>
    <row r="864" ht="15.75" customHeight="1">
      <c r="A864" s="1"/>
    </row>
    <row r="865" ht="15.75" customHeight="1">
      <c r="A865" s="1"/>
    </row>
    <row r="866" ht="15.75" customHeight="1">
      <c r="A866" s="1"/>
    </row>
    <row r="867" ht="15.75" customHeight="1">
      <c r="A867" s="1"/>
    </row>
    <row r="868" ht="15.75" customHeight="1">
      <c r="A868" s="1"/>
    </row>
    <row r="869" ht="15.75" customHeight="1">
      <c r="A869" s="1"/>
    </row>
    <row r="870" ht="15.75" customHeight="1">
      <c r="A870" s="1"/>
    </row>
    <row r="871" ht="15.75" customHeight="1">
      <c r="A871" s="1"/>
    </row>
    <row r="872" ht="15.75" customHeight="1">
      <c r="A872" s="1"/>
    </row>
    <row r="873" ht="15.75" customHeight="1">
      <c r="A873" s="1"/>
    </row>
    <row r="874" ht="15.75" customHeight="1">
      <c r="A874" s="1"/>
    </row>
    <row r="875" ht="15.75" customHeight="1">
      <c r="A875" s="1"/>
    </row>
    <row r="876" ht="15.75" customHeight="1">
      <c r="A876" s="1"/>
    </row>
    <row r="877" ht="15.75" customHeight="1">
      <c r="A877" s="1"/>
    </row>
    <row r="878" ht="15.75" customHeight="1">
      <c r="A878" s="1"/>
    </row>
    <row r="879" ht="15.75" customHeight="1">
      <c r="A879" s="1"/>
    </row>
    <row r="880" ht="15.75" customHeight="1">
      <c r="A880" s="1"/>
    </row>
    <row r="881" ht="15.75" customHeight="1">
      <c r="A881" s="1"/>
    </row>
    <row r="882" ht="15.75" customHeight="1">
      <c r="A882" s="1"/>
    </row>
    <row r="883" ht="15.75" customHeight="1">
      <c r="A883" s="1"/>
    </row>
    <row r="884" ht="15.75" customHeight="1">
      <c r="A884" s="1"/>
    </row>
    <row r="885" ht="15.75" customHeight="1">
      <c r="A885" s="1"/>
    </row>
    <row r="886" ht="15.75" customHeight="1">
      <c r="A886" s="1"/>
    </row>
    <row r="887" ht="15.75" customHeight="1">
      <c r="A887" s="1"/>
    </row>
    <row r="888" ht="15.75" customHeight="1">
      <c r="A888" s="1"/>
    </row>
    <row r="889" ht="15.75" customHeight="1">
      <c r="A889" s="1"/>
    </row>
    <row r="890" ht="15.75" customHeight="1">
      <c r="A890" s="1"/>
    </row>
    <row r="891" ht="15.75" customHeight="1">
      <c r="A891" s="1"/>
    </row>
    <row r="892" ht="15.75" customHeight="1">
      <c r="A892" s="1"/>
    </row>
    <row r="893" ht="15.75" customHeight="1">
      <c r="A893" s="1"/>
    </row>
    <row r="894" ht="15.75" customHeight="1">
      <c r="A894" s="1"/>
    </row>
    <row r="895" ht="15.75" customHeight="1">
      <c r="A895" s="1"/>
    </row>
    <row r="896" ht="15.75" customHeight="1">
      <c r="A896" s="1"/>
    </row>
    <row r="897" ht="15.75" customHeight="1">
      <c r="A897" s="1"/>
    </row>
    <row r="898" ht="15.75" customHeight="1">
      <c r="A898" s="1"/>
    </row>
    <row r="899" ht="15.75" customHeight="1">
      <c r="A899" s="1"/>
    </row>
    <row r="900" ht="15.75" customHeight="1">
      <c r="A900" s="1"/>
    </row>
    <row r="901" ht="15.75" customHeight="1">
      <c r="A901" s="1"/>
    </row>
    <row r="902" ht="15.75" customHeight="1">
      <c r="A902" s="1"/>
    </row>
    <row r="903" ht="15.75" customHeight="1">
      <c r="A903" s="1"/>
    </row>
    <row r="904" ht="15.75" customHeight="1">
      <c r="A904" s="1"/>
    </row>
    <row r="905" ht="15.75" customHeight="1">
      <c r="A905" s="1"/>
    </row>
    <row r="906" ht="15.75" customHeight="1">
      <c r="A906" s="1"/>
    </row>
    <row r="907" ht="15.75" customHeight="1">
      <c r="A907" s="1"/>
    </row>
    <row r="908" ht="15.75" customHeight="1">
      <c r="A908" s="1"/>
    </row>
    <row r="909" ht="15.75" customHeight="1">
      <c r="A909" s="1"/>
    </row>
    <row r="910" ht="15.75" customHeight="1">
      <c r="A910" s="1"/>
    </row>
    <row r="911" ht="15.75" customHeight="1">
      <c r="A911" s="1"/>
    </row>
    <row r="912" ht="15.75" customHeight="1">
      <c r="A912" s="1"/>
    </row>
    <row r="913" ht="15.75" customHeight="1">
      <c r="A913" s="1"/>
    </row>
    <row r="914" ht="15.75" customHeight="1">
      <c r="A914" s="1"/>
    </row>
    <row r="915" ht="15.75" customHeight="1">
      <c r="A915" s="1"/>
    </row>
    <row r="916" ht="15.75" customHeight="1">
      <c r="A916" s="1"/>
    </row>
    <row r="917" ht="15.75" customHeight="1">
      <c r="A917" s="1"/>
    </row>
    <row r="918" ht="15.75" customHeight="1">
      <c r="A918" s="1"/>
    </row>
    <row r="919" ht="15.75" customHeight="1">
      <c r="A919" s="1"/>
    </row>
    <row r="920" ht="15.75" customHeight="1">
      <c r="A920" s="1"/>
    </row>
    <row r="921" ht="15.75" customHeight="1">
      <c r="A921" s="1"/>
    </row>
    <row r="922" ht="15.75" customHeight="1">
      <c r="A922" s="1"/>
    </row>
    <row r="923" ht="15.75" customHeight="1">
      <c r="A923" s="1"/>
    </row>
    <row r="924" ht="15.75" customHeight="1">
      <c r="A924" s="1"/>
    </row>
    <row r="925" ht="15.75" customHeight="1">
      <c r="A925" s="1"/>
    </row>
    <row r="926" ht="15.75" customHeight="1">
      <c r="A926" s="1"/>
    </row>
    <row r="927" ht="15.75" customHeight="1">
      <c r="A927" s="1"/>
    </row>
    <row r="928" ht="15.75" customHeight="1">
      <c r="A928" s="1"/>
    </row>
    <row r="929" ht="15.75" customHeight="1">
      <c r="A929" s="1"/>
    </row>
    <row r="930" ht="15.75" customHeight="1">
      <c r="A930" s="1"/>
    </row>
    <row r="931" ht="15.75" customHeight="1">
      <c r="A931" s="1"/>
    </row>
    <row r="932" ht="15.75" customHeight="1">
      <c r="A932" s="1"/>
    </row>
    <row r="933" ht="15.75" customHeight="1">
      <c r="A933" s="1"/>
    </row>
    <row r="934" ht="15.75" customHeight="1">
      <c r="A934" s="1"/>
    </row>
    <row r="935" ht="15.75" customHeight="1">
      <c r="A935" s="1"/>
    </row>
    <row r="936" ht="15.75" customHeight="1">
      <c r="A936" s="1"/>
    </row>
    <row r="937" ht="15.75" customHeight="1">
      <c r="A937" s="1"/>
    </row>
    <row r="938" ht="15.75" customHeight="1">
      <c r="A938" s="1"/>
    </row>
    <row r="939" ht="15.75" customHeight="1">
      <c r="A939" s="1"/>
    </row>
    <row r="940" ht="15.75" customHeight="1">
      <c r="A940" s="1"/>
    </row>
    <row r="941" ht="15.75" customHeight="1">
      <c r="A941" s="1"/>
    </row>
    <row r="942" ht="15.75" customHeight="1">
      <c r="A942" s="1"/>
    </row>
    <row r="943" ht="15.75" customHeight="1">
      <c r="A943" s="1"/>
    </row>
    <row r="944" ht="15.75" customHeight="1">
      <c r="A944" s="1"/>
    </row>
    <row r="945" ht="15.75" customHeight="1">
      <c r="A945" s="1"/>
    </row>
    <row r="946" ht="15.75" customHeight="1">
      <c r="A946" s="1"/>
    </row>
    <row r="947" ht="15.75" customHeight="1">
      <c r="A947" s="1"/>
    </row>
    <row r="948" ht="15.75" customHeight="1">
      <c r="A948" s="1"/>
    </row>
    <row r="949" ht="15.75" customHeight="1">
      <c r="A949" s="1"/>
    </row>
    <row r="950" ht="15.75" customHeight="1">
      <c r="A950" s="1"/>
    </row>
    <row r="951" ht="15.75" customHeight="1">
      <c r="A951" s="1"/>
    </row>
    <row r="952" ht="15.75" customHeight="1">
      <c r="A952" s="1"/>
    </row>
    <row r="953" ht="15.75" customHeight="1">
      <c r="A953" s="1"/>
    </row>
    <row r="954" ht="15.75" customHeight="1">
      <c r="A954" s="1"/>
    </row>
    <row r="955" ht="15.75" customHeight="1">
      <c r="A955" s="1"/>
    </row>
    <row r="956" ht="15.75" customHeight="1">
      <c r="A956" s="1"/>
    </row>
    <row r="957" ht="15.75" customHeight="1">
      <c r="A957" s="1"/>
    </row>
    <row r="958" ht="15.75" customHeight="1">
      <c r="A958" s="1"/>
    </row>
    <row r="959" ht="15.75" customHeight="1">
      <c r="A959" s="1"/>
    </row>
    <row r="960" ht="15.75" customHeight="1">
      <c r="A960" s="1"/>
    </row>
    <row r="961" ht="15.75" customHeight="1">
      <c r="A961" s="1"/>
    </row>
    <row r="962" ht="15.75" customHeight="1">
      <c r="A962" s="1"/>
    </row>
    <row r="963" ht="15.75" customHeight="1">
      <c r="A963" s="1"/>
    </row>
    <row r="964" ht="15.75" customHeight="1">
      <c r="A964" s="1"/>
    </row>
    <row r="965" ht="15.75" customHeight="1">
      <c r="A965" s="1"/>
    </row>
    <row r="966" ht="15.75" customHeight="1">
      <c r="A966" s="1"/>
    </row>
    <row r="967" ht="15.75" customHeight="1">
      <c r="A967" s="1"/>
    </row>
    <row r="968" ht="15.75" customHeight="1">
      <c r="A968" s="1"/>
    </row>
    <row r="969" ht="15.75" customHeight="1">
      <c r="A969" s="1"/>
    </row>
    <row r="970" ht="15.75" customHeight="1">
      <c r="A970" s="1"/>
    </row>
    <row r="971" ht="15.75" customHeight="1">
      <c r="A971" s="1"/>
    </row>
    <row r="972" ht="15.75" customHeight="1">
      <c r="A972" s="1"/>
    </row>
    <row r="973" ht="15.75" customHeight="1">
      <c r="A973" s="1"/>
    </row>
    <row r="974" ht="15.75" customHeight="1">
      <c r="A974" s="1"/>
    </row>
    <row r="975" ht="15.75" customHeight="1">
      <c r="A975" s="1"/>
    </row>
    <row r="976" ht="15.75" customHeight="1">
      <c r="A976" s="1"/>
    </row>
    <row r="977" ht="15.75" customHeight="1">
      <c r="A977" s="1"/>
    </row>
    <row r="978" ht="15.75" customHeight="1">
      <c r="A978" s="1"/>
    </row>
    <row r="979" ht="15.75" customHeight="1">
      <c r="A979" s="1"/>
    </row>
    <row r="980" ht="15.75" customHeight="1">
      <c r="A980" s="1"/>
    </row>
    <row r="981" ht="15.75" customHeight="1">
      <c r="A981" s="1"/>
    </row>
    <row r="982" ht="15.75" customHeight="1">
      <c r="A982" s="1"/>
    </row>
    <row r="983" ht="15.75" customHeight="1">
      <c r="A983" s="1"/>
    </row>
    <row r="984" ht="15.75" customHeight="1">
      <c r="A984" s="1"/>
    </row>
    <row r="985" ht="15.75" customHeight="1">
      <c r="A985" s="1"/>
    </row>
    <row r="986" ht="15.75" customHeight="1">
      <c r="A986" s="1"/>
    </row>
    <row r="987" ht="15.75" customHeight="1">
      <c r="A987" s="1"/>
    </row>
    <row r="988" ht="15.75" customHeight="1">
      <c r="A988" s="1"/>
    </row>
    <row r="989" ht="15.75" customHeight="1">
      <c r="A989" s="1"/>
    </row>
    <row r="990" ht="15.75" customHeight="1">
      <c r="A990" s="1"/>
    </row>
    <row r="991" ht="15.75" customHeight="1">
      <c r="A991" s="1"/>
    </row>
    <row r="992" ht="15.75" customHeight="1">
      <c r="A992" s="1"/>
    </row>
    <row r="993" ht="15.75" customHeight="1">
      <c r="A993" s="1"/>
    </row>
    <row r="994" ht="15.75" customHeight="1">
      <c r="A994" s="1"/>
    </row>
    <row r="995" ht="15.75" customHeight="1">
      <c r="A995" s="1"/>
    </row>
    <row r="996" ht="15.75" customHeight="1">
      <c r="A996" s="1"/>
    </row>
    <row r="997" ht="15.75" customHeight="1">
      <c r="A997" s="1"/>
    </row>
    <row r="998" ht="15.75" customHeight="1">
      <c r="A998" s="1"/>
    </row>
    <row r="999" ht="15.75" customHeight="1">
      <c r="A999" s="1"/>
    </row>
    <row r="1000" ht="15.75" customHeight="1">
      <c r="A1000" s="1"/>
    </row>
  </sheetData>
  <printOptions/>
  <pageMargins bottom="0.75" footer="0.0" header="0.0" left="0.7" right="0.7" top="0.75"/>
  <pageSetup orientation="landscape"/>
  <drawing r:id="rId1"/>
</worksheet>
</file>